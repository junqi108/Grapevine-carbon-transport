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W:\GrapevineXL_CT\Model_analysis\Final figures\ExpData\"/>
    </mc:Choice>
  </mc:AlternateContent>
  <bookViews>
    <workbookView xWindow="1200" yWindow="-120" windowWidth="29040" windowHeight="17640" activeTab="1"/>
  </bookViews>
  <sheets>
    <sheet name="Biomass.TNC content. structural" sheetId="2" r:id="rId1"/>
    <sheet name="Sheet2" sheetId="4" r:id="rId2"/>
    <sheet name="Sheet1" sheetId="3" r:id="rId3"/>
  </sheets>
  <definedNames>
    <definedName name="_xlnm._FilterDatabase" localSheetId="0" hidden="1">'Biomass.TNC content. structural'!$A$1:$Q$41</definedName>
    <definedName name="_xlnm._FilterDatabase" localSheetId="1" hidden="1">Sheet2!$A$1:$L$58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41" i="2" l="1"/>
  <c r="B37" i="2"/>
  <c r="B34" i="2"/>
  <c r="B30" i="2"/>
  <c r="B29" i="2"/>
  <c r="B24" i="2"/>
  <c r="B23" i="2"/>
  <c r="B19" i="2"/>
  <c r="B17" i="2"/>
  <c r="B14" i="2"/>
  <c r="B12" i="2"/>
  <c r="B8" i="2"/>
  <c r="B39" i="2"/>
  <c r="B36" i="2"/>
  <c r="B33" i="2"/>
  <c r="B32" i="2"/>
  <c r="B28" i="2"/>
  <c r="B27" i="2"/>
  <c r="B22" i="2"/>
  <c r="B21" i="2"/>
  <c r="B16" i="2"/>
  <c r="B13" i="2"/>
  <c r="B9" i="2"/>
  <c r="B7" i="2"/>
  <c r="Q24" i="2" l="1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2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2" i="2"/>
</calcChain>
</file>

<file path=xl/sharedStrings.xml><?xml version="1.0" encoding="utf-8"?>
<sst xmlns="http://schemas.openxmlformats.org/spreadsheetml/2006/main" count="127" uniqueCount="35">
  <si>
    <t>date</t>
  </si>
  <si>
    <t>treatment</t>
  </si>
  <si>
    <t>25% leaves</t>
  </si>
  <si>
    <t>Full leaf area</t>
  </si>
  <si>
    <t>no leaves</t>
  </si>
  <si>
    <t>vine</t>
  </si>
  <si>
    <t>replicate</t>
  </si>
  <si>
    <t>T0 - before treatment implementation</t>
  </si>
  <si>
    <t>leaf total non-structural carbohydrate content (g/vine)</t>
  </si>
  <si>
    <t>leaf dry weight (g/vine)</t>
  </si>
  <si>
    <t>Fruit dry weight (g/vine)</t>
  </si>
  <si>
    <t>Fruit total soluble solid content (g/vine)</t>
  </si>
  <si>
    <t>Shoot dry weight (g/vine)</t>
  </si>
  <si>
    <t>Trunk dry weight (g/vine)</t>
  </si>
  <si>
    <t>leaf structural DW (g/vine)</t>
  </si>
  <si>
    <t>Root dry weight (g/vine)</t>
  </si>
  <si>
    <t>Root total non-structural carbohydrate content (g/vine)</t>
  </si>
  <si>
    <t>Root structural DW (g/vine)</t>
  </si>
  <si>
    <t>Destructive harvest</t>
  </si>
  <si>
    <t>Leaf blade N</t>
  </si>
  <si>
    <t>days</t>
  </si>
  <si>
    <t>scenario</t>
  </si>
  <si>
    <t>berryDM</t>
  </si>
  <si>
    <t>structuralRootNSC</t>
  </si>
  <si>
    <t>woodDM</t>
  </si>
  <si>
    <t>structuralRootDM</t>
  </si>
  <si>
    <t>leafDM</t>
  </si>
  <si>
    <t>internodeDM</t>
  </si>
  <si>
    <t>leafNSC</t>
  </si>
  <si>
    <t>day</t>
  </si>
  <si>
    <t>totalRootDM</t>
  </si>
  <si>
    <t>totalRootNSC</t>
  </si>
  <si>
    <t>25 leaves</t>
  </si>
  <si>
    <t>100 leaves</t>
  </si>
  <si>
    <t>No leaves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</si>
</sst>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/mm/yyyy;@"/>
  </numFmts>
  <fonts count="2">
    <font>
      <sz val="11"/>
      <color theme="1"/>
      <name val="Calibri"/>
      <family val="2"/>
      <scheme val="minor"/>
    </font>
    <font>
      <sz val="10"/>
      <name val="Genev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0" fillId="0" borderId="0" xfId="0" applyNumberFormat="1"/>
    <xf numFmtId="9" fontId="0" fillId="0" borderId="0" xfId="0" applyNumberFormat="1"/>
    <xf numFmtId="164" fontId="0" fillId="0" borderId="0" xfId="0" applyNumberFormat="1"/>
    <xf numFmtId="2" fontId="0" fillId="0" borderId="0" xfId="0" applyNumberFormat="1"/>
    <xf numFmtId="1" fontId="0" fillId="0" borderId="0" xfId="0" applyNumberForma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'Biomass.TNC content. structural'!$O$1</c:f>
              <c:strCache>
                <c:ptCount val="1"/>
                <c:pt idx="0">
                  <c:v>Root dry weight (g/vine)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'Biomass.TNC content. structural'!$B$2:$B$41</c:f>
              <c:numCache>
                <c:formatCode>d/mm/yyyy;@</c:formatCode>
                <c:ptCount val="40"/>
                <c:pt idx="5" formatCode="0.00">
                  <c:v>5</c:v>
                </c:pt>
                <c:pt idx="6" formatCode="0">
                  <c:v>5</c:v>
                </c:pt>
                <c:pt idx="7" formatCode="0.00">
                  <c:v>5</c:v>
                </c:pt>
                <c:pt idx="10" formatCode="0">
                  <c:v>5</c:v>
                </c:pt>
                <c:pt idx="11" formatCode="0.00">
                  <c:v>5</c:v>
                </c:pt>
                <c:pt idx="12" formatCode="0">
                  <c:v>5</c:v>
                </c:pt>
                <c:pt idx="14" formatCode="0.00">
                  <c:v>14</c:v>
                </c:pt>
                <c:pt idx="15" formatCode="0">
                  <c:v>14</c:v>
                </c:pt>
                <c:pt idx="17" formatCode="0">
                  <c:v>14</c:v>
                </c:pt>
                <c:pt idx="19" formatCode="0.00">
                  <c:v>14</c:v>
                </c:pt>
                <c:pt idx="20" formatCode="0.00">
                  <c:v>14</c:v>
                </c:pt>
                <c:pt idx="21" formatCode="0">
                  <c:v>14</c:v>
                </c:pt>
                <c:pt idx="22" formatCode="0">
                  <c:v>24</c:v>
                </c:pt>
                <c:pt idx="25" formatCode="0.00">
                  <c:v>24</c:v>
                </c:pt>
                <c:pt idx="26" formatCode="0.00">
                  <c:v>24</c:v>
                </c:pt>
                <c:pt idx="27" formatCode="0">
                  <c:v>24</c:v>
                </c:pt>
                <c:pt idx="28" formatCode="0">
                  <c:v>24</c:v>
                </c:pt>
                <c:pt idx="30" formatCode="0.00">
                  <c:v>24</c:v>
                </c:pt>
                <c:pt idx="31" formatCode="0.00">
                  <c:v>33</c:v>
                </c:pt>
                <c:pt idx="32" formatCode="0">
                  <c:v>33</c:v>
                </c:pt>
                <c:pt idx="34" formatCode="0.00">
                  <c:v>33</c:v>
                </c:pt>
                <c:pt idx="35" formatCode="0">
                  <c:v>33</c:v>
                </c:pt>
                <c:pt idx="37" formatCode="0.00">
                  <c:v>33</c:v>
                </c:pt>
                <c:pt idx="39" formatCode="0">
                  <c:v>33</c:v>
                </c:pt>
              </c:numCache>
            </c:numRef>
          </c:xVal>
          <c:yVal>
            <c:numRef>
              <c:f>'Biomass.TNC content. structural'!$O$2:$O$41</c:f>
              <c:numCache>
                <c:formatCode>0.00</c:formatCode>
                <c:ptCount val="40"/>
                <c:pt idx="0">
                  <c:v>203.22460027215516</c:v>
                </c:pt>
                <c:pt idx="1">
                  <c:v>216.36409686499081</c:v>
                </c:pt>
                <c:pt idx="2">
                  <c:v>238.2589092882337</c:v>
                </c:pt>
                <c:pt idx="3">
                  <c:v>189.54088544272139</c:v>
                </c:pt>
                <c:pt idx="4">
                  <c:v>168.51552504953295</c:v>
                </c:pt>
                <c:pt idx="5">
                  <c:v>238.52620788530467</c:v>
                </c:pt>
                <c:pt idx="6">
                  <c:v>267.43402773679554</c:v>
                </c:pt>
                <c:pt idx="7">
                  <c:v>322.72759027896632</c:v>
                </c:pt>
                <c:pt idx="8">
                  <c:v>221.15030930154091</c:v>
                </c:pt>
                <c:pt idx="9">
                  <c:v>224.26951475197234</c:v>
                </c:pt>
                <c:pt idx="10">
                  <c:v>201.09800604229605</c:v>
                </c:pt>
                <c:pt idx="11">
                  <c:v>256.10071954300781</c:v>
                </c:pt>
                <c:pt idx="12">
                  <c:v>204.51512764670298</c:v>
                </c:pt>
                <c:pt idx="13">
                  <c:v>250.99433628318585</c:v>
                </c:pt>
                <c:pt idx="14">
                  <c:v>283.04051711309523</c:v>
                </c:pt>
                <c:pt idx="15">
                  <c:v>280.49953564599832</c:v>
                </c:pt>
                <c:pt idx="16">
                  <c:v>145.47916830847169</c:v>
                </c:pt>
                <c:pt idx="17">
                  <c:v>227.37478356493054</c:v>
                </c:pt>
                <c:pt idx="18">
                  <c:v>171.75138081769092</c:v>
                </c:pt>
                <c:pt idx="19">
                  <c:v>211.55386340468908</c:v>
                </c:pt>
                <c:pt idx="20">
                  <c:v>261.73840630298196</c:v>
                </c:pt>
                <c:pt idx="21">
                  <c:v>114.63590191978712</c:v>
                </c:pt>
                <c:pt idx="22">
                  <c:v>244.30801264599984</c:v>
                </c:pt>
                <c:pt idx="23">
                  <c:v>201.50469995803607</c:v>
                </c:pt>
                <c:pt idx="24">
                  <c:v>141.95872128425128</c:v>
                </c:pt>
                <c:pt idx="25">
                  <c:v>243.76342173350582</c:v>
                </c:pt>
                <c:pt idx="26">
                  <c:v>301.94157795394483</c:v>
                </c:pt>
                <c:pt idx="27">
                  <c:v>159.43503000750189</c:v>
                </c:pt>
                <c:pt idx="28">
                  <c:v>226.81553027522938</c:v>
                </c:pt>
                <c:pt idx="29">
                  <c:v>187.00505295488244</c:v>
                </c:pt>
                <c:pt idx="30">
                  <c:v>222.37707808564232</c:v>
                </c:pt>
                <c:pt idx="31">
                  <c:v>250.12542847541167</c:v>
                </c:pt>
                <c:pt idx="32">
                  <c:v>170.02332662811165</c:v>
                </c:pt>
                <c:pt idx="33">
                  <c:v>142.44286952987397</c:v>
                </c:pt>
                <c:pt idx="34">
                  <c:v>247.58875342754692</c:v>
                </c:pt>
                <c:pt idx="35">
                  <c:v>133.46321475625822</c:v>
                </c:pt>
                <c:pt idx="36">
                  <c:v>135.9262181818182</c:v>
                </c:pt>
                <c:pt idx="37">
                  <c:v>242.755</c:v>
                </c:pt>
                <c:pt idx="38">
                  <c:v>178.35994300695316</c:v>
                </c:pt>
                <c:pt idx="39">
                  <c:v>186.64878809944869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BE3-4170-9C10-01AAF678B3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4822088"/>
        <c:axId val="674812288"/>
      </c:scatterChart>
      <c:valAx>
        <c:axId val="6748220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/mm/yy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4812288"/>
        <c:crosses val="autoZero"/>
        <c:crossBetween val="midCat"/>
      </c:valAx>
      <c:valAx>
        <c:axId val="674812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48220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'Biomass.TNC content. structural'!$N$1</c:f>
              <c:strCache>
                <c:ptCount val="1"/>
                <c:pt idx="0">
                  <c:v>Trunk dry weight (g/vine)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'Biomass.TNC content. structural'!$B$2:$B$41</c:f>
              <c:numCache>
                <c:formatCode>d/mm/yyyy;@</c:formatCode>
                <c:ptCount val="40"/>
                <c:pt idx="5" formatCode="0.00">
                  <c:v>5</c:v>
                </c:pt>
                <c:pt idx="6" formatCode="0">
                  <c:v>5</c:v>
                </c:pt>
                <c:pt idx="7" formatCode="0.00">
                  <c:v>5</c:v>
                </c:pt>
                <c:pt idx="10" formatCode="0">
                  <c:v>5</c:v>
                </c:pt>
                <c:pt idx="11" formatCode="0.00">
                  <c:v>5</c:v>
                </c:pt>
                <c:pt idx="12" formatCode="0">
                  <c:v>5</c:v>
                </c:pt>
                <c:pt idx="14" formatCode="0.00">
                  <c:v>14</c:v>
                </c:pt>
                <c:pt idx="15" formatCode="0">
                  <c:v>14</c:v>
                </c:pt>
                <c:pt idx="17" formatCode="0">
                  <c:v>14</c:v>
                </c:pt>
                <c:pt idx="19" formatCode="0.00">
                  <c:v>14</c:v>
                </c:pt>
                <c:pt idx="20" formatCode="0.00">
                  <c:v>14</c:v>
                </c:pt>
                <c:pt idx="21" formatCode="0">
                  <c:v>14</c:v>
                </c:pt>
                <c:pt idx="22" formatCode="0">
                  <c:v>24</c:v>
                </c:pt>
                <c:pt idx="25" formatCode="0.00">
                  <c:v>24</c:v>
                </c:pt>
                <c:pt idx="26" formatCode="0.00">
                  <c:v>24</c:v>
                </c:pt>
                <c:pt idx="27" formatCode="0">
                  <c:v>24</c:v>
                </c:pt>
                <c:pt idx="28" formatCode="0">
                  <c:v>24</c:v>
                </c:pt>
                <c:pt idx="30" formatCode="0.00">
                  <c:v>24</c:v>
                </c:pt>
                <c:pt idx="31" formatCode="0.00">
                  <c:v>33</c:v>
                </c:pt>
                <c:pt idx="32" formatCode="0">
                  <c:v>33</c:v>
                </c:pt>
                <c:pt idx="34" formatCode="0.00">
                  <c:v>33</c:v>
                </c:pt>
                <c:pt idx="35" formatCode="0">
                  <c:v>33</c:v>
                </c:pt>
                <c:pt idx="37" formatCode="0.00">
                  <c:v>33</c:v>
                </c:pt>
                <c:pt idx="39" formatCode="0">
                  <c:v>33</c:v>
                </c:pt>
              </c:numCache>
            </c:numRef>
          </c:xVal>
          <c:yVal>
            <c:numRef>
              <c:f>'Biomass.TNC content. structural'!$N$2:$N$41</c:f>
              <c:numCache>
                <c:formatCode>0.00</c:formatCode>
                <c:ptCount val="40"/>
                <c:pt idx="0">
                  <c:v>115.61355019388193</c:v>
                </c:pt>
                <c:pt idx="1">
                  <c:v>120.87039999999999</c:v>
                </c:pt>
                <c:pt idx="2">
                  <c:v>116.63097801364671</c:v>
                </c:pt>
                <c:pt idx="3">
                  <c:v>126.90095548733692</c:v>
                </c:pt>
                <c:pt idx="4">
                  <c:v>103.46477322765303</c:v>
                </c:pt>
                <c:pt idx="5">
                  <c:v>119.93010727056019</c:v>
                </c:pt>
                <c:pt idx="6">
                  <c:v>111.84631832797429</c:v>
                </c:pt>
                <c:pt idx="7">
                  <c:v>131.13402829486225</c:v>
                </c:pt>
                <c:pt idx="8">
                  <c:v>167.7974732803508</c:v>
                </c:pt>
                <c:pt idx="9">
                  <c:v>126.93024546424759</c:v>
                </c:pt>
                <c:pt idx="10">
                  <c:v>112.48416262135922</c:v>
                </c:pt>
                <c:pt idx="11">
                  <c:v>125.79965517241379</c:v>
                </c:pt>
                <c:pt idx="12">
                  <c:v>113.90442508710802</c:v>
                </c:pt>
                <c:pt idx="13">
                  <c:v>122.6543085106383</c:v>
                </c:pt>
                <c:pt idx="14">
                  <c:v>127.06163421153111</c:v>
                </c:pt>
                <c:pt idx="15">
                  <c:v>110.77194280908327</c:v>
                </c:pt>
                <c:pt idx="16">
                  <c:v>109.06325123152709</c:v>
                </c:pt>
                <c:pt idx="17">
                  <c:v>124.29363101800809</c:v>
                </c:pt>
                <c:pt idx="18">
                  <c:v>103.55343979283558</c:v>
                </c:pt>
                <c:pt idx="19">
                  <c:v>131.15738841755808</c:v>
                </c:pt>
                <c:pt idx="20">
                  <c:v>120.20286902286902</c:v>
                </c:pt>
                <c:pt idx="21">
                  <c:v>101.25371783496007</c:v>
                </c:pt>
                <c:pt idx="22">
                  <c:v>126.71195278969957</c:v>
                </c:pt>
                <c:pt idx="23">
                  <c:v>105.34446519524619</c:v>
                </c:pt>
                <c:pt idx="24">
                  <c:v>101.07431778929188</c:v>
                </c:pt>
                <c:pt idx="25">
                  <c:v>113.556381549485</c:v>
                </c:pt>
                <c:pt idx="26">
                  <c:v>124.1518872651357</c:v>
                </c:pt>
                <c:pt idx="27">
                  <c:v>89.455524134568506</c:v>
                </c:pt>
                <c:pt idx="28">
                  <c:v>129.65591630104623</c:v>
                </c:pt>
                <c:pt idx="29">
                  <c:v>93.747317298797398</c:v>
                </c:pt>
                <c:pt idx="30">
                  <c:v>137.32163323782234</c:v>
                </c:pt>
                <c:pt idx="31">
                  <c:v>123.72129137719656</c:v>
                </c:pt>
                <c:pt idx="32">
                  <c:v>89.049870875179352</c:v>
                </c:pt>
                <c:pt idx="33">
                  <c:v>113.70589185129553</c:v>
                </c:pt>
                <c:pt idx="34">
                  <c:v>147.74600355239789</c:v>
                </c:pt>
                <c:pt idx="35">
                  <c:v>104.22286189683861</c:v>
                </c:pt>
                <c:pt idx="36">
                  <c:v>101.13162162162162</c:v>
                </c:pt>
                <c:pt idx="37">
                  <c:v>110.9325438180957</c:v>
                </c:pt>
                <c:pt idx="38">
                  <c:v>123.33846697280113</c:v>
                </c:pt>
                <c:pt idx="39">
                  <c:v>119.21470588235294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5B0-4B29-B482-33A99E8945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7185912"/>
        <c:axId val="737187480"/>
      </c:scatterChart>
      <c:valAx>
        <c:axId val="737185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/mm/yy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7187480"/>
        <c:crosses val="autoZero"/>
        <c:crossBetween val="midCat"/>
      </c:valAx>
      <c:valAx>
        <c:axId val="737187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71859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1133481</xdr:colOff>
      <xdr:row>45</xdr:row>
      <xdr:rowOff>161931</xdr:rowOff>
    </xdr:from>
    <xdr:to>
      <xdr:col>15</xdr:col>
      <xdr:colOff>1209681</xdr:colOff>
      <xdr:row>60</xdr:row>
      <xdr:rowOff>47631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1038231</xdr:colOff>
      <xdr:row>68</xdr:row>
      <xdr:rowOff>66681</xdr:rowOff>
    </xdr:from>
    <xdr:to>
      <xdr:col>15</xdr:col>
      <xdr:colOff>1114431</xdr:colOff>
      <xdr:row>82</xdr:row>
      <xdr:rowOff>142881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1"/>
  <sheetViews>
    <sheetView zoomScaleNormal="100" workbookViewId="0">
      <pane xSplit="4" ySplit="6" topLeftCell="E7" activePane="bottomRight" state="frozen"/>
      <selection pane="topRight" activeCell="D1" sqref="D1"/>
      <selection pane="bottomLeft" activeCell="A7" sqref="A7"/>
      <selection pane="bottomRight" activeCell="B11" sqref="A1:Q41"/>
    </sheetView>
  </sheetViews>
  <sheetFormatPr defaultRowHeight="15"/>
  <cols>
    <col min="1" max="1" width="10.7109375" bestFit="1" customWidth="1"/>
    <col min="2" max="2" width="10.7109375" customWidth="1"/>
    <col min="4" max="4" width="12.42578125" bestFit="1" customWidth="1"/>
    <col min="6" max="6" width="18.85546875" bestFit="1" customWidth="1"/>
    <col min="7" max="7" width="23.5703125" style="4" bestFit="1" customWidth="1"/>
    <col min="8" max="8" width="31.140625" style="4" bestFit="1" customWidth="1"/>
    <col min="9" max="9" width="35.42578125" style="4" bestFit="1" customWidth="1"/>
    <col min="10" max="10" width="21.28515625" bestFit="1" customWidth="1"/>
    <col min="11" max="11" width="48.140625" bestFit="1" customWidth="1"/>
    <col min="12" max="12" width="29.140625" bestFit="1" customWidth="1"/>
    <col min="13" max="13" width="22.85546875" bestFit="1" customWidth="1"/>
    <col min="14" max="14" width="22.7109375" bestFit="1" customWidth="1"/>
    <col min="15" max="15" width="21.85546875" bestFit="1" customWidth="1"/>
    <col min="16" max="16" width="48.85546875" bestFit="1" customWidth="1"/>
    <col min="17" max="17" width="24.5703125" bestFit="1" customWidth="1"/>
  </cols>
  <sheetData>
    <row r="1" spans="1:17">
      <c r="A1" s="3" t="s">
        <v>0</v>
      </c>
      <c r="B1" s="3" t="s">
        <v>20</v>
      </c>
      <c r="C1" t="s">
        <v>5</v>
      </c>
      <c r="D1" t="s">
        <v>1</v>
      </c>
      <c r="E1" t="s">
        <v>6</v>
      </c>
      <c r="F1" t="s">
        <v>18</v>
      </c>
      <c r="G1" s="4" t="s">
        <v>19</v>
      </c>
      <c r="H1" t="s">
        <v>10</v>
      </c>
      <c r="I1" t="s">
        <v>11</v>
      </c>
      <c r="J1" s="4" t="s">
        <v>9</v>
      </c>
      <c r="K1" s="4" t="s">
        <v>8</v>
      </c>
      <c r="L1" t="s">
        <v>14</v>
      </c>
      <c r="M1" t="s">
        <v>12</v>
      </c>
      <c r="N1" t="s">
        <v>13</v>
      </c>
      <c r="O1" t="s">
        <v>15</v>
      </c>
      <c r="P1" t="s">
        <v>16</v>
      </c>
      <c r="Q1" t="s">
        <v>17</v>
      </c>
    </row>
    <row r="2" spans="1:17">
      <c r="A2" s="3">
        <v>42366</v>
      </c>
      <c r="B2" s="3"/>
      <c r="C2">
        <v>9</v>
      </c>
      <c r="D2" t="s">
        <v>7</v>
      </c>
      <c r="E2">
        <v>1</v>
      </c>
      <c r="F2">
        <v>1</v>
      </c>
      <c r="G2" s="4">
        <v>2.0093380447585396</v>
      </c>
      <c r="H2" s="4">
        <v>227.44486600000005</v>
      </c>
      <c r="I2" s="4">
        <v>141.31629999999998</v>
      </c>
      <c r="J2" s="4">
        <v>76.751257861635224</v>
      </c>
      <c r="K2" s="4">
        <v>6.4752004855514871</v>
      </c>
      <c r="L2" s="4">
        <f>J2-K2</f>
        <v>70.276057376083742</v>
      </c>
      <c r="M2" s="4">
        <v>81.359105466593036</v>
      </c>
      <c r="N2" s="4">
        <v>115.61355019388193</v>
      </c>
      <c r="O2" s="4">
        <v>203.22460027215516</v>
      </c>
      <c r="P2" s="4">
        <v>39.303426840805344</v>
      </c>
      <c r="Q2" s="4">
        <f>O2-P2</f>
        <v>163.92117343134981</v>
      </c>
    </row>
    <row r="3" spans="1:17">
      <c r="A3" s="3">
        <v>42366</v>
      </c>
      <c r="B3" s="3"/>
      <c r="C3">
        <v>17</v>
      </c>
      <c r="D3" t="s">
        <v>7</v>
      </c>
      <c r="E3">
        <v>2</v>
      </c>
      <c r="F3">
        <v>1</v>
      </c>
      <c r="G3" s="4">
        <v>2.0653568904593635</v>
      </c>
      <c r="H3" s="4">
        <v>171.27983599999993</v>
      </c>
      <c r="I3" s="4">
        <v>120.08997000000001</v>
      </c>
      <c r="J3" s="4">
        <v>80.051104100946375</v>
      </c>
      <c r="K3" s="4">
        <v>6.2321928753716573</v>
      </c>
      <c r="L3" s="4">
        <f t="shared" ref="L3:L41" si="0">J3-K3</f>
        <v>73.818911225574723</v>
      </c>
      <c r="M3" s="4">
        <v>107.58612890470542</v>
      </c>
      <c r="N3" s="4">
        <v>120.87039999999999</v>
      </c>
      <c r="O3" s="4">
        <v>216.36409686499081</v>
      </c>
      <c r="P3" s="4">
        <v>36.677815661334797</v>
      </c>
      <c r="Q3" s="4">
        <f t="shared" ref="Q3:Q41" si="1">O3-P3</f>
        <v>179.68628120365602</v>
      </c>
    </row>
    <row r="4" spans="1:17">
      <c r="A4" s="3">
        <v>42366</v>
      </c>
      <c r="B4" s="3"/>
      <c r="C4">
        <v>24</v>
      </c>
      <c r="D4" t="s">
        <v>7</v>
      </c>
      <c r="E4">
        <v>3</v>
      </c>
      <c r="F4">
        <v>1</v>
      </c>
      <c r="G4" s="4">
        <v>2.0956843345111897</v>
      </c>
      <c r="H4" s="4">
        <v>247.7128180000002</v>
      </c>
      <c r="I4" s="4">
        <v>149.93564000000001</v>
      </c>
      <c r="J4" s="4">
        <v>82.718691588785049</v>
      </c>
      <c r="K4" s="4">
        <v>6.9959281572544878</v>
      </c>
      <c r="L4" s="4">
        <f t="shared" si="0"/>
        <v>75.722763431530566</v>
      </c>
      <c r="M4" s="4">
        <v>91.358149779735683</v>
      </c>
      <c r="N4" s="4">
        <v>116.63097801364671</v>
      </c>
      <c r="O4" s="4">
        <v>238.2589092882337</v>
      </c>
      <c r="P4" s="4">
        <v>53.934433327355542</v>
      </c>
      <c r="Q4" s="4">
        <f t="shared" si="1"/>
        <v>184.32447596087815</v>
      </c>
    </row>
    <row r="5" spans="1:17">
      <c r="A5" s="3">
        <v>42366</v>
      </c>
      <c r="B5" s="3"/>
      <c r="C5">
        <v>31</v>
      </c>
      <c r="D5" t="s">
        <v>7</v>
      </c>
      <c r="E5">
        <v>4</v>
      </c>
      <c r="F5">
        <v>1</v>
      </c>
      <c r="G5" s="4">
        <v>2.0362850412249704</v>
      </c>
      <c r="H5" s="4">
        <v>166.76766399999997</v>
      </c>
      <c r="I5" s="4">
        <v>119.34608000000001</v>
      </c>
      <c r="J5" s="4">
        <v>92.743541666666673</v>
      </c>
      <c r="K5" s="4">
        <v>7.3229856353178251</v>
      </c>
      <c r="L5" s="4">
        <f t="shared" si="0"/>
        <v>85.420556031348852</v>
      </c>
      <c r="M5" s="4">
        <v>97.76057847321006</v>
      </c>
      <c r="N5" s="4">
        <v>126.90095548733692</v>
      </c>
      <c r="O5" s="4">
        <v>189.54088544272139</v>
      </c>
      <c r="P5" s="4">
        <v>29.476606303427726</v>
      </c>
      <c r="Q5" s="4">
        <f t="shared" si="1"/>
        <v>160.06427913929366</v>
      </c>
    </row>
    <row r="6" spans="1:17">
      <c r="A6" s="3">
        <v>42375</v>
      </c>
      <c r="B6" s="3"/>
      <c r="C6">
        <v>5</v>
      </c>
      <c r="D6" s="2" t="s">
        <v>2</v>
      </c>
      <c r="E6">
        <v>1</v>
      </c>
      <c r="F6">
        <v>2</v>
      </c>
      <c r="G6" s="4">
        <v>2.2102332155477034</v>
      </c>
      <c r="H6" s="4">
        <v>315.54361300000005</v>
      </c>
      <c r="I6" s="4">
        <v>228.89174000000003</v>
      </c>
      <c r="J6" s="4">
        <v>20.795209580838318</v>
      </c>
      <c r="K6" s="4">
        <v>1.5734319687768255</v>
      </c>
      <c r="L6" s="4">
        <f t="shared" si="0"/>
        <v>19.221777612061491</v>
      </c>
      <c r="M6" s="4">
        <v>81.170338567222771</v>
      </c>
      <c r="N6" s="4">
        <v>103.46477322765303</v>
      </c>
      <c r="O6" s="4">
        <v>168.51552504953295</v>
      </c>
      <c r="P6" s="4">
        <v>20.393340551938195</v>
      </c>
      <c r="Q6" s="4">
        <f t="shared" si="1"/>
        <v>148.12218449759476</v>
      </c>
    </row>
    <row r="7" spans="1:17">
      <c r="A7" s="3">
        <v>42375</v>
      </c>
      <c r="B7" s="4">
        <f>A7-DATE(2016,1,1)</f>
        <v>5</v>
      </c>
      <c r="C7">
        <v>10</v>
      </c>
      <c r="D7" s="1" t="s">
        <v>3</v>
      </c>
      <c r="E7">
        <v>1</v>
      </c>
      <c r="F7">
        <v>2</v>
      </c>
      <c r="G7" s="4">
        <v>1.9924358068315664</v>
      </c>
      <c r="H7" s="4">
        <v>239.9543799999999</v>
      </c>
      <c r="I7" s="4">
        <v>195.64314999999999</v>
      </c>
      <c r="J7" s="4">
        <v>82.611818181818194</v>
      </c>
      <c r="K7" s="4">
        <v>6.3609577224220537</v>
      </c>
      <c r="L7" s="4">
        <f t="shared" si="0"/>
        <v>76.250860459396137</v>
      </c>
      <c r="M7" s="4">
        <v>101.80087155963302</v>
      </c>
      <c r="N7" s="4">
        <v>119.93010727056019</v>
      </c>
      <c r="O7" s="4">
        <v>238.52620788530467</v>
      </c>
      <c r="P7" s="4">
        <v>42.12209778876651</v>
      </c>
      <c r="Q7" s="4">
        <f t="shared" si="1"/>
        <v>196.40411009653815</v>
      </c>
    </row>
    <row r="8" spans="1:17">
      <c r="A8" s="3">
        <v>42375</v>
      </c>
      <c r="B8" s="5">
        <f>A8-DATE(2016,1,1)</f>
        <v>5</v>
      </c>
      <c r="C8">
        <v>11</v>
      </c>
      <c r="D8" s="1" t="s">
        <v>4</v>
      </c>
      <c r="E8">
        <v>1</v>
      </c>
      <c r="F8">
        <v>2</v>
      </c>
      <c r="H8" s="4">
        <v>311.51631300000008</v>
      </c>
      <c r="I8" s="4">
        <v>193.99277999999998</v>
      </c>
      <c r="J8" s="4">
        <v>0</v>
      </c>
      <c r="K8" s="4">
        <v>0</v>
      </c>
      <c r="L8" s="4">
        <f t="shared" si="0"/>
        <v>0</v>
      </c>
      <c r="M8" s="4">
        <v>192.18425800631482</v>
      </c>
      <c r="N8" s="4">
        <v>111.84631832797429</v>
      </c>
      <c r="O8" s="4">
        <v>267.43402773679554</v>
      </c>
      <c r="P8" s="4">
        <v>32.703051316907882</v>
      </c>
      <c r="Q8" s="4">
        <f t="shared" si="1"/>
        <v>234.73097641988767</v>
      </c>
    </row>
    <row r="9" spans="1:17">
      <c r="A9" s="3">
        <v>42375</v>
      </c>
      <c r="B9" s="4">
        <f>A9-DATE(2016,1,1)</f>
        <v>5</v>
      </c>
      <c r="C9">
        <v>12</v>
      </c>
      <c r="D9" s="1" t="s">
        <v>3</v>
      </c>
      <c r="E9">
        <v>2</v>
      </c>
      <c r="F9">
        <v>2</v>
      </c>
      <c r="G9" s="4">
        <v>1.7642073027090694</v>
      </c>
      <c r="H9" s="4">
        <v>420.70162500000015</v>
      </c>
      <c r="I9" s="4">
        <v>291.52845000000002</v>
      </c>
      <c r="J9" s="4">
        <v>85.425660377358497</v>
      </c>
      <c r="K9" s="4">
        <v>5.7671577300514931</v>
      </c>
      <c r="L9" s="4">
        <f t="shared" si="0"/>
        <v>79.658502647307003</v>
      </c>
      <c r="M9" s="4">
        <v>128.95863168061814</v>
      </c>
      <c r="N9" s="4">
        <v>131.13402829486225</v>
      </c>
      <c r="O9" s="4">
        <v>322.72759027896632</v>
      </c>
      <c r="P9" s="4">
        <v>61.762887175775141</v>
      </c>
      <c r="Q9" s="4">
        <f t="shared" si="1"/>
        <v>260.9647031031912</v>
      </c>
    </row>
    <row r="10" spans="1:17">
      <c r="A10" s="3">
        <v>42375</v>
      </c>
      <c r="B10" s="3"/>
      <c r="C10">
        <v>20</v>
      </c>
      <c r="D10" s="2" t="s">
        <v>2</v>
      </c>
      <c r="E10">
        <v>2</v>
      </c>
      <c r="F10">
        <v>2</v>
      </c>
      <c r="G10" s="4">
        <v>2.1451354534746763</v>
      </c>
      <c r="H10" s="4">
        <v>306.16169799999989</v>
      </c>
      <c r="I10" s="4">
        <v>199.20818000000003</v>
      </c>
      <c r="J10" s="4">
        <v>19.181249999999999</v>
      </c>
      <c r="K10" s="4">
        <v>1.1971588020978627</v>
      </c>
      <c r="L10" s="4">
        <f t="shared" si="0"/>
        <v>17.984091197902135</v>
      </c>
      <c r="M10" s="4">
        <v>74.032036553524804</v>
      </c>
      <c r="N10" s="4">
        <v>167.7974732803508</v>
      </c>
      <c r="O10" s="4">
        <v>221.15030930154091</v>
      </c>
      <c r="P10" s="4">
        <v>18.049798961312483</v>
      </c>
      <c r="Q10" s="4">
        <f t="shared" si="1"/>
        <v>203.10051034022842</v>
      </c>
    </row>
    <row r="11" spans="1:17">
      <c r="A11" s="3">
        <v>42375</v>
      </c>
      <c r="B11" s="3"/>
      <c r="C11">
        <v>21</v>
      </c>
      <c r="D11" s="2" t="s">
        <v>2</v>
      </c>
      <c r="E11">
        <v>3</v>
      </c>
      <c r="F11">
        <v>2</v>
      </c>
      <c r="G11" s="4">
        <v>2.1785535924617196</v>
      </c>
      <c r="H11" s="4">
        <v>254.74760599999991</v>
      </c>
      <c r="I11" s="4">
        <v>168.09979999999999</v>
      </c>
      <c r="J11" s="4">
        <v>22.570877862595406</v>
      </c>
      <c r="K11" s="4">
        <v>1.4301382852487514</v>
      </c>
      <c r="L11" s="4">
        <f t="shared" si="0"/>
        <v>21.140739577346654</v>
      </c>
      <c r="M11" s="4">
        <v>82.775314465408798</v>
      </c>
      <c r="N11" s="4">
        <v>126.93024546424759</v>
      </c>
      <c r="O11" s="4">
        <v>224.26951475197234</v>
      </c>
      <c r="P11" s="4">
        <v>29.536103077999623</v>
      </c>
      <c r="Q11" s="4">
        <f t="shared" si="1"/>
        <v>194.73341167397271</v>
      </c>
    </row>
    <row r="12" spans="1:17">
      <c r="A12" s="3">
        <v>42375</v>
      </c>
      <c r="B12" s="5">
        <f>A12-DATE(2016,1,1)</f>
        <v>5</v>
      </c>
      <c r="C12">
        <v>28</v>
      </c>
      <c r="D12" s="1" t="s">
        <v>4</v>
      </c>
      <c r="E12">
        <v>2</v>
      </c>
      <c r="F12">
        <v>2</v>
      </c>
      <c r="H12" s="4">
        <v>198.19612499999994</v>
      </c>
      <c r="I12" s="4">
        <v>133.52159999999998</v>
      </c>
      <c r="J12" s="4">
        <v>0</v>
      </c>
      <c r="K12" s="4">
        <v>0</v>
      </c>
      <c r="L12" s="4">
        <f t="shared" si="0"/>
        <v>0</v>
      </c>
      <c r="M12" s="4">
        <v>82.8591304347826</v>
      </c>
      <c r="N12" s="4">
        <v>112.48416262135922</v>
      </c>
      <c r="O12" s="4">
        <v>201.09800604229605</v>
      </c>
      <c r="P12" s="4">
        <v>26.589135045408202</v>
      </c>
      <c r="Q12" s="4">
        <f t="shared" si="1"/>
        <v>174.50887099688785</v>
      </c>
    </row>
    <row r="13" spans="1:17">
      <c r="A13" s="3">
        <v>42375</v>
      </c>
      <c r="B13" s="4">
        <f>A13-DATE(2016,1,1)</f>
        <v>5</v>
      </c>
      <c r="C13">
        <v>36</v>
      </c>
      <c r="D13" s="1" t="s">
        <v>3</v>
      </c>
      <c r="E13">
        <v>3</v>
      </c>
      <c r="F13">
        <v>2</v>
      </c>
      <c r="G13" s="4">
        <v>2.0370577149587752</v>
      </c>
      <c r="H13" s="4">
        <v>353.16337199999998</v>
      </c>
      <c r="I13" s="4">
        <v>243.30280000000002</v>
      </c>
      <c r="J13" s="4">
        <v>78.520482315112531</v>
      </c>
      <c r="K13" s="4">
        <v>5.1248828936452435</v>
      </c>
      <c r="L13" s="4">
        <f t="shared" si="0"/>
        <v>73.395599421467281</v>
      </c>
      <c r="M13" s="4">
        <v>101.41182225845903</v>
      </c>
      <c r="N13" s="4">
        <v>125.79965517241379</v>
      </c>
      <c r="O13" s="4">
        <v>256.10071954300781</v>
      </c>
      <c r="P13" s="4">
        <v>36.734339289518886</v>
      </c>
      <c r="Q13" s="4">
        <f t="shared" si="1"/>
        <v>219.36638025348893</v>
      </c>
    </row>
    <row r="14" spans="1:17">
      <c r="A14" s="3">
        <v>42375</v>
      </c>
      <c r="B14" s="5">
        <f>A14-DATE(2016,1,1)</f>
        <v>5</v>
      </c>
      <c r="C14">
        <v>37</v>
      </c>
      <c r="D14" s="1" t="s">
        <v>4</v>
      </c>
      <c r="E14">
        <v>3</v>
      </c>
      <c r="F14">
        <v>2</v>
      </c>
      <c r="H14" s="4">
        <v>306.03938399999993</v>
      </c>
      <c r="I14" s="4">
        <v>183.54113999999998</v>
      </c>
      <c r="J14" s="4">
        <v>0</v>
      </c>
      <c r="K14" s="4">
        <v>0</v>
      </c>
      <c r="L14" s="4">
        <f t="shared" si="0"/>
        <v>0</v>
      </c>
      <c r="M14" s="4">
        <v>80.091762414800399</v>
      </c>
      <c r="N14" s="4">
        <v>113.90442508710802</v>
      </c>
      <c r="O14" s="4">
        <v>204.51512764670298</v>
      </c>
      <c r="P14" s="4">
        <v>23.08106366649055</v>
      </c>
      <c r="Q14" s="4">
        <f t="shared" si="1"/>
        <v>181.43406398021244</v>
      </c>
    </row>
    <row r="15" spans="1:17">
      <c r="A15" s="3">
        <v>42384</v>
      </c>
      <c r="B15" s="3"/>
      <c r="C15">
        <v>1</v>
      </c>
      <c r="D15" s="2" t="s">
        <v>2</v>
      </c>
      <c r="E15">
        <v>1</v>
      </c>
      <c r="F15">
        <v>3</v>
      </c>
      <c r="G15" s="4">
        <v>1.872864546525324</v>
      </c>
      <c r="H15" s="4">
        <v>377.97536700000023</v>
      </c>
      <c r="I15" s="4">
        <v>280.50120000000004</v>
      </c>
      <c r="J15" s="4">
        <v>46.980000000000004</v>
      </c>
      <c r="K15" s="4">
        <v>2.9063242700881999</v>
      </c>
      <c r="L15" s="4">
        <f t="shared" si="0"/>
        <v>44.073675729911805</v>
      </c>
      <c r="M15" s="4">
        <v>76.652614704256479</v>
      </c>
      <c r="N15" s="4">
        <v>122.6543085106383</v>
      </c>
      <c r="O15" s="4">
        <v>250.99433628318585</v>
      </c>
      <c r="P15" s="4">
        <v>30.270888177240092</v>
      </c>
      <c r="Q15" s="4">
        <f t="shared" si="1"/>
        <v>220.72344810594575</v>
      </c>
    </row>
    <row r="16" spans="1:17">
      <c r="A16" s="3">
        <v>42384</v>
      </c>
      <c r="B16" s="4">
        <f>A16-DATE(2016,1,1)</f>
        <v>14</v>
      </c>
      <c r="C16">
        <v>2</v>
      </c>
      <c r="D16" s="1" t="s">
        <v>3</v>
      </c>
      <c r="E16">
        <v>1</v>
      </c>
      <c r="F16">
        <v>3</v>
      </c>
      <c r="G16" s="4">
        <v>2.0274958775029446</v>
      </c>
      <c r="H16" s="4">
        <v>408.05716800000005</v>
      </c>
      <c r="I16" s="4">
        <v>350.84544</v>
      </c>
      <c r="J16" s="4">
        <v>88.571714285714279</v>
      </c>
      <c r="K16" s="4">
        <v>4.9523611926370297</v>
      </c>
      <c r="L16" s="4">
        <f t="shared" si="0"/>
        <v>83.619353093077251</v>
      </c>
      <c r="M16" s="4">
        <v>108.5422061258278</v>
      </c>
      <c r="N16" s="4">
        <v>127.06163421153111</v>
      </c>
      <c r="O16" s="4">
        <v>283.04051711309523</v>
      </c>
      <c r="P16" s="4">
        <v>35.50051298930093</v>
      </c>
      <c r="Q16" s="4">
        <f t="shared" si="1"/>
        <v>247.54000412379429</v>
      </c>
    </row>
    <row r="17" spans="1:17">
      <c r="A17" s="3">
        <v>42384</v>
      </c>
      <c r="B17" s="5">
        <f>A17-DATE(2016,1,1)</f>
        <v>14</v>
      </c>
      <c r="C17">
        <v>14</v>
      </c>
      <c r="D17" s="1" t="s">
        <v>4</v>
      </c>
      <c r="E17">
        <v>1</v>
      </c>
      <c r="F17">
        <v>3</v>
      </c>
      <c r="H17" s="4">
        <v>258.37324600000011</v>
      </c>
      <c r="I17" s="4">
        <v>181.59402000000003</v>
      </c>
      <c r="J17" s="4">
        <v>0</v>
      </c>
      <c r="K17" s="4">
        <v>0</v>
      </c>
      <c r="L17" s="4">
        <f t="shared" si="0"/>
        <v>0</v>
      </c>
      <c r="M17" s="4">
        <v>80.775278969957085</v>
      </c>
      <c r="N17" s="4">
        <v>110.77194280908327</v>
      </c>
      <c r="O17" s="4">
        <v>280.49953564599832</v>
      </c>
      <c r="P17" s="4">
        <v>27.31499739293627</v>
      </c>
      <c r="Q17" s="4">
        <f t="shared" si="1"/>
        <v>253.18453825306204</v>
      </c>
    </row>
    <row r="18" spans="1:17">
      <c r="A18" s="3">
        <v>42384</v>
      </c>
      <c r="B18" s="3"/>
      <c r="C18">
        <v>19</v>
      </c>
      <c r="D18" s="2" t="s">
        <v>2</v>
      </c>
      <c r="E18">
        <v>2</v>
      </c>
      <c r="F18">
        <v>3</v>
      </c>
      <c r="G18" s="4">
        <v>2.1212791519434626</v>
      </c>
      <c r="H18" s="4">
        <v>349.21546199999989</v>
      </c>
      <c r="I18" s="4">
        <v>243.68552999999997</v>
      </c>
      <c r="J18" s="4">
        <v>18.039327217125383</v>
      </c>
      <c r="K18" s="4">
        <v>1.1001459521659525</v>
      </c>
      <c r="L18" s="4">
        <f t="shared" si="0"/>
        <v>16.93918126495943</v>
      </c>
      <c r="M18" s="4">
        <v>78.472654774396645</v>
      </c>
      <c r="N18" s="4">
        <v>109.06325123152709</v>
      </c>
      <c r="O18" s="4">
        <v>145.47916830847169</v>
      </c>
      <c r="P18" s="4">
        <v>10.761585559389482</v>
      </c>
      <c r="Q18" s="4">
        <f t="shared" si="1"/>
        <v>134.7175827490822</v>
      </c>
    </row>
    <row r="19" spans="1:17">
      <c r="A19" s="3">
        <v>42384</v>
      </c>
      <c r="B19" s="5">
        <f>A19-DATE(2016,1,1)</f>
        <v>14</v>
      </c>
      <c r="C19">
        <v>22</v>
      </c>
      <c r="D19" s="1" t="s">
        <v>4</v>
      </c>
      <c r="E19">
        <v>2</v>
      </c>
      <c r="F19">
        <v>3</v>
      </c>
      <c r="H19" s="4">
        <v>304.1840000000002</v>
      </c>
      <c r="I19" s="4">
        <v>195.52</v>
      </c>
      <c r="J19" s="4">
        <v>0</v>
      </c>
      <c r="K19" s="4">
        <v>0</v>
      </c>
      <c r="L19" s="4">
        <f t="shared" si="0"/>
        <v>0</v>
      </c>
      <c r="M19" s="4">
        <v>85.726492702344089</v>
      </c>
      <c r="N19" s="4">
        <v>124.29363101800809</v>
      </c>
      <c r="O19" s="4">
        <v>227.37478356493054</v>
      </c>
      <c r="P19" s="4">
        <v>30.144926796940286</v>
      </c>
      <c r="Q19" s="4">
        <f t="shared" si="1"/>
        <v>197.22985676799024</v>
      </c>
    </row>
    <row r="20" spans="1:17">
      <c r="A20" s="3">
        <v>42384</v>
      </c>
      <c r="B20" s="3"/>
      <c r="C20">
        <v>25</v>
      </c>
      <c r="D20" s="2" t="s">
        <v>2</v>
      </c>
      <c r="E20">
        <v>3</v>
      </c>
      <c r="F20">
        <v>3</v>
      </c>
      <c r="G20" s="4">
        <v>2.1271707891637219</v>
      </c>
      <c r="H20" s="4">
        <v>340.96478400000001</v>
      </c>
      <c r="I20" s="4">
        <v>291.01161000000008</v>
      </c>
      <c r="J20" s="4">
        <v>25.375999999999987</v>
      </c>
      <c r="K20" s="4">
        <v>1.4069171228268673</v>
      </c>
      <c r="L20" s="4">
        <f t="shared" si="0"/>
        <v>23.969082877173118</v>
      </c>
      <c r="M20" s="4">
        <v>86.237046375506523</v>
      </c>
      <c r="N20" s="4">
        <v>103.55343979283558</v>
      </c>
      <c r="O20" s="4">
        <v>171.75138081769092</v>
      </c>
      <c r="P20" s="4">
        <v>13.770227841918301</v>
      </c>
      <c r="Q20" s="4">
        <f t="shared" si="1"/>
        <v>157.9811529757726</v>
      </c>
    </row>
    <row r="21" spans="1:17">
      <c r="A21" s="3">
        <v>42384</v>
      </c>
      <c r="B21" s="4">
        <f t="shared" ref="B21:B24" si="2">A21-DATE(2016,1,1)</f>
        <v>14</v>
      </c>
      <c r="C21">
        <v>26</v>
      </c>
      <c r="D21" s="1" t="s">
        <v>3</v>
      </c>
      <c r="E21">
        <v>2</v>
      </c>
      <c r="F21">
        <v>3</v>
      </c>
      <c r="G21" s="4">
        <v>2.1220518256772674</v>
      </c>
      <c r="H21" s="4">
        <v>475.29014000000006</v>
      </c>
      <c r="I21" s="4">
        <v>382.1191199999999</v>
      </c>
      <c r="J21" s="4">
        <v>80.212269938650309</v>
      </c>
      <c r="K21" s="4">
        <v>4.4173697073280724</v>
      </c>
      <c r="L21" s="4">
        <f t="shared" si="0"/>
        <v>75.794900231322231</v>
      </c>
      <c r="M21" s="4">
        <v>77.783596816976129</v>
      </c>
      <c r="N21" s="4">
        <v>131.15738841755808</v>
      </c>
      <c r="O21" s="4">
        <v>211.55386340468908</v>
      </c>
      <c r="P21" s="4">
        <v>23.34702376516697</v>
      </c>
      <c r="Q21" s="4">
        <f t="shared" si="1"/>
        <v>188.20683963952212</v>
      </c>
    </row>
    <row r="22" spans="1:17">
      <c r="A22" s="3">
        <v>42384</v>
      </c>
      <c r="B22" s="4">
        <f t="shared" si="2"/>
        <v>14</v>
      </c>
      <c r="C22">
        <v>39</v>
      </c>
      <c r="D22" s="1" t="s">
        <v>3</v>
      </c>
      <c r="E22">
        <v>3</v>
      </c>
      <c r="F22">
        <v>3</v>
      </c>
      <c r="G22" s="4">
        <v>1.9114016489988221</v>
      </c>
      <c r="H22" s="4">
        <v>486.75366899999995</v>
      </c>
      <c r="I22" s="4">
        <v>375.19348000000002</v>
      </c>
      <c r="J22" s="4">
        <v>91.971512605042022</v>
      </c>
      <c r="K22" s="4">
        <v>5.5204377416608876</v>
      </c>
      <c r="L22" s="4">
        <f t="shared" si="0"/>
        <v>86.451074863381137</v>
      </c>
      <c r="M22" s="4">
        <v>118.10828351836037</v>
      </c>
      <c r="N22" s="4">
        <v>120.20286902286902</v>
      </c>
      <c r="O22" s="4">
        <v>261.73840630298196</v>
      </c>
      <c r="P22" s="4">
        <v>36.362274444934435</v>
      </c>
      <c r="Q22" s="4">
        <f t="shared" si="1"/>
        <v>225.37613185804753</v>
      </c>
    </row>
    <row r="23" spans="1:17">
      <c r="A23" s="3">
        <v>42384</v>
      </c>
      <c r="B23" s="5">
        <f t="shared" si="2"/>
        <v>14</v>
      </c>
      <c r="C23">
        <v>40</v>
      </c>
      <c r="D23" s="1" t="s">
        <v>4</v>
      </c>
      <c r="E23">
        <v>3</v>
      </c>
      <c r="F23">
        <v>3</v>
      </c>
      <c r="H23" s="4">
        <v>339.81258899999989</v>
      </c>
      <c r="I23" s="4">
        <v>231.73701000000003</v>
      </c>
      <c r="J23" s="4">
        <v>0</v>
      </c>
      <c r="K23" s="4">
        <v>0</v>
      </c>
      <c r="L23" s="4">
        <f t="shared" si="0"/>
        <v>0</v>
      </c>
      <c r="M23" s="4">
        <v>86.225608348134983</v>
      </c>
      <c r="N23" s="4">
        <v>101.25371783496007</v>
      </c>
      <c r="O23" s="4">
        <v>114.63590191978712</v>
      </c>
      <c r="P23" s="4">
        <v>9.8243095392386817</v>
      </c>
      <c r="Q23" s="4">
        <f t="shared" si="1"/>
        <v>104.81159238054843</v>
      </c>
    </row>
    <row r="24" spans="1:17">
      <c r="A24" s="3">
        <v>42394</v>
      </c>
      <c r="B24" s="5">
        <f t="shared" si="2"/>
        <v>24</v>
      </c>
      <c r="C24">
        <v>4</v>
      </c>
      <c r="D24" s="1" t="s">
        <v>4</v>
      </c>
      <c r="E24">
        <v>1</v>
      </c>
      <c r="F24">
        <v>4</v>
      </c>
      <c r="H24" s="4">
        <v>337.89658000000009</v>
      </c>
      <c r="I24" s="4">
        <v>242.11319999999995</v>
      </c>
      <c r="J24" s="4">
        <v>0</v>
      </c>
      <c r="K24" s="4">
        <v>0</v>
      </c>
      <c r="L24" s="4">
        <f t="shared" si="0"/>
        <v>0</v>
      </c>
      <c r="M24" s="4">
        <v>97.592982052462034</v>
      </c>
      <c r="N24" s="4">
        <v>126.71195278969957</v>
      </c>
      <c r="O24" s="4">
        <v>244.30801264599984</v>
      </c>
      <c r="P24" s="4">
        <v>13.640414319627052</v>
      </c>
      <c r="Q24" s="4">
        <f t="shared" si="1"/>
        <v>230.6675983263728</v>
      </c>
    </row>
    <row r="25" spans="1:17">
      <c r="A25" s="3">
        <v>42394</v>
      </c>
      <c r="B25" s="3"/>
      <c r="C25">
        <v>7</v>
      </c>
      <c r="D25" s="2" t="s">
        <v>2</v>
      </c>
      <c r="E25">
        <v>1</v>
      </c>
      <c r="F25">
        <v>4</v>
      </c>
      <c r="G25" s="4">
        <v>1.7905747938751473</v>
      </c>
      <c r="H25" s="4">
        <v>356.73726800000009</v>
      </c>
      <c r="I25" s="4">
        <v>279.83341000000001</v>
      </c>
      <c r="J25" s="4">
        <v>24.621621621621621</v>
      </c>
      <c r="K25" s="4">
        <v>1.7262983590654957</v>
      </c>
      <c r="L25" s="4">
        <f t="shared" si="0"/>
        <v>22.895323262556126</v>
      </c>
      <c r="M25" s="4">
        <v>84.977508190914719</v>
      </c>
      <c r="N25" s="4">
        <v>105.34446519524619</v>
      </c>
      <c r="O25" s="4">
        <v>201.50469995803607</v>
      </c>
      <c r="P25" s="4">
        <v>13.061851992221676</v>
      </c>
      <c r="Q25" s="4">
        <f t="shared" si="1"/>
        <v>188.44284796581439</v>
      </c>
    </row>
    <row r="26" spans="1:17">
      <c r="A26" s="3">
        <v>42394</v>
      </c>
      <c r="B26" s="3"/>
      <c r="C26">
        <v>13</v>
      </c>
      <c r="D26" s="2" t="s">
        <v>2</v>
      </c>
      <c r="E26">
        <v>2</v>
      </c>
      <c r="F26">
        <v>4</v>
      </c>
      <c r="G26" s="4">
        <v>1.8736372202591283</v>
      </c>
      <c r="H26" s="4">
        <v>378.87833100000012</v>
      </c>
      <c r="I26" s="4">
        <v>298.11917999999997</v>
      </c>
      <c r="J26" s="4">
        <v>25.019072164948465</v>
      </c>
      <c r="K26" s="4">
        <v>1.5580155516543643</v>
      </c>
      <c r="L26" s="4">
        <f t="shared" si="0"/>
        <v>23.461056613294101</v>
      </c>
      <c r="M26" s="4">
        <v>75.921892613467804</v>
      </c>
      <c r="N26" s="4">
        <v>101.07431778929188</v>
      </c>
      <c r="O26" s="4">
        <v>141.95872128425128</v>
      </c>
      <c r="P26" s="4">
        <v>6.4509411722422065</v>
      </c>
      <c r="Q26" s="4">
        <f t="shared" si="1"/>
        <v>135.50778011200907</v>
      </c>
    </row>
    <row r="27" spans="1:17">
      <c r="A27" s="3">
        <v>42394</v>
      </c>
      <c r="B27" s="4">
        <f t="shared" ref="B27:B30" si="3">A27-DATE(2016,1,1)</f>
        <v>24</v>
      </c>
      <c r="C27">
        <v>16</v>
      </c>
      <c r="D27" s="1" t="s">
        <v>3</v>
      </c>
      <c r="E27">
        <v>1</v>
      </c>
      <c r="F27">
        <v>4</v>
      </c>
      <c r="G27" s="4">
        <v>1.7664287396937572</v>
      </c>
      <c r="H27" s="4">
        <v>459.97125899999992</v>
      </c>
      <c r="I27" s="4">
        <v>382.86829000000006</v>
      </c>
      <c r="J27" s="4">
        <v>93.648301886792453</v>
      </c>
      <c r="K27" s="4">
        <v>10.395255263847483</v>
      </c>
      <c r="L27" s="4">
        <f t="shared" si="0"/>
        <v>83.253046622944964</v>
      </c>
      <c r="M27" s="4">
        <v>110.19863126649076</v>
      </c>
      <c r="N27" s="4">
        <v>113.556381549485</v>
      </c>
      <c r="O27" s="4">
        <v>243.76342173350582</v>
      </c>
      <c r="P27" s="4">
        <v>31.37401837376029</v>
      </c>
      <c r="Q27" s="4">
        <f t="shared" si="1"/>
        <v>212.38940335974553</v>
      </c>
    </row>
    <row r="28" spans="1:17">
      <c r="A28" s="3">
        <v>42394</v>
      </c>
      <c r="B28" s="4">
        <f t="shared" si="3"/>
        <v>24</v>
      </c>
      <c r="C28">
        <v>23</v>
      </c>
      <c r="D28" s="1" t="s">
        <v>3</v>
      </c>
      <c r="E28">
        <v>2</v>
      </c>
      <c r="F28">
        <v>4</v>
      </c>
      <c r="G28" s="4">
        <v>1.7267326266195524</v>
      </c>
      <c r="H28" s="4">
        <v>616.42320299999983</v>
      </c>
      <c r="I28" s="4">
        <v>488.89531999999986</v>
      </c>
      <c r="J28" s="4">
        <v>97.915543478260872</v>
      </c>
      <c r="K28" s="4">
        <v>10.033312562706268</v>
      </c>
      <c r="L28" s="4">
        <f t="shared" si="0"/>
        <v>87.882230915554601</v>
      </c>
      <c r="M28" s="4">
        <v>113.26422218104327</v>
      </c>
      <c r="N28" s="4">
        <v>124.1518872651357</v>
      </c>
      <c r="O28" s="4">
        <v>301.94157795394483</v>
      </c>
      <c r="P28" s="4">
        <v>40.858438935544598</v>
      </c>
      <c r="Q28" s="4">
        <f t="shared" si="1"/>
        <v>261.08313901840023</v>
      </c>
    </row>
    <row r="29" spans="1:17">
      <c r="A29" s="3">
        <v>42394</v>
      </c>
      <c r="B29" s="5">
        <f t="shared" si="3"/>
        <v>24</v>
      </c>
      <c r="C29">
        <v>30</v>
      </c>
      <c r="D29" s="1" t="s">
        <v>4</v>
      </c>
      <c r="E29">
        <v>2</v>
      </c>
      <c r="F29">
        <v>4</v>
      </c>
      <c r="H29" s="4">
        <v>309.32296999999994</v>
      </c>
      <c r="I29" s="4">
        <v>222.63372999999999</v>
      </c>
      <c r="J29" s="4">
        <v>0</v>
      </c>
      <c r="K29" s="4">
        <v>0</v>
      </c>
      <c r="L29" s="4">
        <f t="shared" si="0"/>
        <v>0</v>
      </c>
      <c r="M29" s="4">
        <v>84.624106160616051</v>
      </c>
      <c r="N29" s="4">
        <v>89.455524134568506</v>
      </c>
      <c r="O29" s="4">
        <v>159.43503000750189</v>
      </c>
      <c r="P29" s="4">
        <v>8.5249300503674856</v>
      </c>
      <c r="Q29" s="4">
        <f t="shared" si="1"/>
        <v>150.91009995713441</v>
      </c>
    </row>
    <row r="30" spans="1:17">
      <c r="A30" s="3">
        <v>42394</v>
      </c>
      <c r="B30" s="5">
        <f t="shared" si="3"/>
        <v>24</v>
      </c>
      <c r="C30">
        <v>32</v>
      </c>
      <c r="D30" s="1" t="s">
        <v>4</v>
      </c>
      <c r="E30">
        <v>3</v>
      </c>
      <c r="F30">
        <v>4</v>
      </c>
      <c r="H30" s="4">
        <v>319.59042999999997</v>
      </c>
      <c r="I30" s="4">
        <v>214.34765999999996</v>
      </c>
      <c r="J30" s="4">
        <v>0</v>
      </c>
      <c r="K30" s="4">
        <v>0</v>
      </c>
      <c r="L30" s="4">
        <f t="shared" si="0"/>
        <v>0</v>
      </c>
      <c r="M30" s="4">
        <v>88.180826098169007</v>
      </c>
      <c r="N30" s="4">
        <v>129.65591630104623</v>
      </c>
      <c r="O30" s="4">
        <v>226.81553027522938</v>
      </c>
      <c r="P30" s="4">
        <v>12.910106612627386</v>
      </c>
      <c r="Q30" s="4">
        <f t="shared" si="1"/>
        <v>213.905423662602</v>
      </c>
    </row>
    <row r="31" spans="1:17">
      <c r="A31" s="3">
        <v>42394</v>
      </c>
      <c r="B31" s="3"/>
      <c r="C31">
        <v>35</v>
      </c>
      <c r="D31" s="2" t="s">
        <v>2</v>
      </c>
      <c r="E31">
        <v>3</v>
      </c>
      <c r="F31">
        <v>4</v>
      </c>
      <c r="G31" s="4">
        <v>1.9165206124852767</v>
      </c>
      <c r="H31" s="4">
        <v>359.46586200000002</v>
      </c>
      <c r="I31" s="4">
        <v>286.66526000000005</v>
      </c>
      <c r="J31" s="4">
        <v>23.956186440677968</v>
      </c>
      <c r="K31" s="4">
        <v>1.8360278365455023</v>
      </c>
      <c r="L31" s="4">
        <f t="shared" si="0"/>
        <v>22.120158604132467</v>
      </c>
      <c r="M31" s="4">
        <v>78.061683429848628</v>
      </c>
      <c r="N31" s="4">
        <v>93.747317298797398</v>
      </c>
      <c r="O31" s="4">
        <v>187.00505295488244</v>
      </c>
      <c r="P31" s="4">
        <v>6.90970732301549</v>
      </c>
      <c r="Q31" s="4">
        <f t="shared" si="1"/>
        <v>180.09534563186696</v>
      </c>
    </row>
    <row r="32" spans="1:17">
      <c r="A32" s="3">
        <v>42394</v>
      </c>
      <c r="B32" s="4">
        <f t="shared" ref="B32:B33" si="4">A32-DATE(2016,1,1)</f>
        <v>24</v>
      </c>
      <c r="C32">
        <v>38</v>
      </c>
      <c r="D32" s="1" t="s">
        <v>3</v>
      </c>
      <c r="E32">
        <v>3</v>
      </c>
      <c r="F32">
        <v>4</v>
      </c>
      <c r="G32" s="4">
        <v>1.8199363957597174</v>
      </c>
      <c r="H32" s="4">
        <v>554.79035700000009</v>
      </c>
      <c r="I32" s="4">
        <v>456.51870000000002</v>
      </c>
      <c r="J32" s="4">
        <v>82.30089743589744</v>
      </c>
      <c r="K32" s="4">
        <v>6.9198676845038918</v>
      </c>
      <c r="L32" s="4">
        <f t="shared" si="0"/>
        <v>75.381029751393555</v>
      </c>
      <c r="M32" s="4">
        <v>89.001293542473007</v>
      </c>
      <c r="N32" s="4">
        <v>137.32163323782234</v>
      </c>
      <c r="O32" s="4">
        <v>222.37707808564232</v>
      </c>
      <c r="P32" s="4">
        <v>23.774823732987482</v>
      </c>
      <c r="Q32" s="4">
        <f t="shared" si="1"/>
        <v>198.60225435265485</v>
      </c>
    </row>
    <row r="33" spans="1:17">
      <c r="A33" s="3">
        <v>42403</v>
      </c>
      <c r="B33" s="4">
        <f t="shared" si="4"/>
        <v>33</v>
      </c>
      <c r="C33">
        <v>3</v>
      </c>
      <c r="D33" s="1" t="s">
        <v>3</v>
      </c>
      <c r="E33">
        <v>1</v>
      </c>
      <c r="F33">
        <v>5</v>
      </c>
      <c r="G33" s="4">
        <v>1.8209988221436983</v>
      </c>
      <c r="H33" s="4">
        <v>579.60827100000006</v>
      </c>
      <c r="I33" s="4">
        <v>495.73215999999991</v>
      </c>
      <c r="J33" s="4">
        <v>100.66825396825396</v>
      </c>
      <c r="K33" s="4">
        <v>12.880924687973517</v>
      </c>
      <c r="L33" s="4">
        <f t="shared" si="0"/>
        <v>87.787329280280446</v>
      </c>
      <c r="M33" s="4">
        <v>111.28355939169749</v>
      </c>
      <c r="N33" s="4">
        <v>123.72129137719656</v>
      </c>
      <c r="O33" s="4">
        <v>250.12542847541167</v>
      </c>
      <c r="P33" s="4">
        <v>39.016275597561247</v>
      </c>
      <c r="Q33" s="4">
        <f t="shared" si="1"/>
        <v>211.10915287785042</v>
      </c>
    </row>
    <row r="34" spans="1:17">
      <c r="A34" s="3">
        <v>42403</v>
      </c>
      <c r="B34" s="5">
        <f>A34-DATE(2016,1,1)</f>
        <v>33</v>
      </c>
      <c r="C34">
        <v>6</v>
      </c>
      <c r="D34" s="1" t="s">
        <v>4</v>
      </c>
      <c r="E34">
        <v>1</v>
      </c>
      <c r="F34">
        <v>5</v>
      </c>
      <c r="H34" s="4">
        <v>315.71692799999983</v>
      </c>
      <c r="I34" s="4">
        <v>210.86486000000002</v>
      </c>
      <c r="J34" s="4">
        <v>0</v>
      </c>
      <c r="K34" s="4">
        <v>0</v>
      </c>
      <c r="L34" s="4">
        <f t="shared" si="0"/>
        <v>0</v>
      </c>
      <c r="M34" s="4">
        <v>83.025745071068314</v>
      </c>
      <c r="N34" s="4">
        <v>89.049870875179352</v>
      </c>
      <c r="O34" s="4">
        <v>170.02332662811165</v>
      </c>
      <c r="P34" s="4">
        <v>7.2046342366173413</v>
      </c>
      <c r="Q34" s="4">
        <f t="shared" si="1"/>
        <v>162.8186923914943</v>
      </c>
    </row>
    <row r="35" spans="1:17">
      <c r="A35" s="3">
        <v>42403</v>
      </c>
      <c r="B35" s="3"/>
      <c r="C35">
        <v>8</v>
      </c>
      <c r="D35" s="2" t="s">
        <v>2</v>
      </c>
      <c r="E35">
        <v>1</v>
      </c>
      <c r="F35">
        <v>5</v>
      </c>
      <c r="G35" s="4">
        <v>1.8151071849234393</v>
      </c>
      <c r="H35" s="4">
        <v>313.80648800000017</v>
      </c>
      <c r="I35" s="4">
        <v>263.29320000000001</v>
      </c>
      <c r="J35" s="4">
        <v>18.790099337748352</v>
      </c>
      <c r="K35" s="4">
        <v>1.3849853761294506</v>
      </c>
      <c r="L35" s="4">
        <f t="shared" si="0"/>
        <v>17.405113961618902</v>
      </c>
      <c r="M35" s="4">
        <v>78.789298061812474</v>
      </c>
      <c r="N35" s="4">
        <v>113.70589185129553</v>
      </c>
      <c r="O35" s="4">
        <v>142.44286952987397</v>
      </c>
      <c r="P35" s="4">
        <v>3.6007380001741018</v>
      </c>
      <c r="Q35" s="4">
        <f t="shared" si="1"/>
        <v>138.84213152969988</v>
      </c>
    </row>
    <row r="36" spans="1:17">
      <c r="A36" s="3">
        <v>42403</v>
      </c>
      <c r="B36" s="4">
        <f>A36-DATE(2016,1,1)</f>
        <v>33</v>
      </c>
      <c r="C36">
        <v>15</v>
      </c>
      <c r="D36" s="1" t="s">
        <v>3</v>
      </c>
      <c r="E36">
        <v>2</v>
      </c>
      <c r="F36">
        <v>5</v>
      </c>
      <c r="G36" s="4">
        <v>1.5325983510011778</v>
      </c>
      <c r="H36" s="4">
        <v>661.34148499999992</v>
      </c>
      <c r="I36" s="4">
        <v>504.17149999999992</v>
      </c>
      <c r="J36" s="4">
        <v>110.01201807228915</v>
      </c>
      <c r="K36" s="4">
        <v>12.927392316746506</v>
      </c>
      <c r="L36" s="4">
        <f t="shared" si="0"/>
        <v>97.084625755542646</v>
      </c>
      <c r="M36" s="4">
        <v>122.26484499205088</v>
      </c>
      <c r="N36" s="4">
        <v>147.74600355239789</v>
      </c>
      <c r="O36" s="4">
        <v>247.58875342754692</v>
      </c>
      <c r="P36" s="4">
        <v>49.021031768767507</v>
      </c>
      <c r="Q36" s="4">
        <f t="shared" si="1"/>
        <v>198.56772165877942</v>
      </c>
    </row>
    <row r="37" spans="1:17">
      <c r="A37" s="3">
        <v>42403</v>
      </c>
      <c r="B37" s="5">
        <f>A37-DATE(2016,1,1)</f>
        <v>33</v>
      </c>
      <c r="C37">
        <v>18</v>
      </c>
      <c r="D37" s="1" t="s">
        <v>4</v>
      </c>
      <c r="E37">
        <v>2</v>
      </c>
      <c r="F37">
        <v>5</v>
      </c>
      <c r="H37" s="4">
        <v>286.40885700000013</v>
      </c>
      <c r="I37" s="4">
        <v>226.87538999999998</v>
      </c>
      <c r="J37" s="4">
        <v>0</v>
      </c>
      <c r="K37" s="4">
        <v>0</v>
      </c>
      <c r="L37" s="4">
        <f t="shared" si="0"/>
        <v>0</v>
      </c>
      <c r="M37" s="4">
        <v>89.388680815647106</v>
      </c>
      <c r="N37" s="4">
        <v>104.22286189683861</v>
      </c>
      <c r="O37" s="4">
        <v>133.46321475625822</v>
      </c>
      <c r="P37" s="4">
        <v>5.0337000681617923</v>
      </c>
      <c r="Q37" s="4">
        <f t="shared" si="1"/>
        <v>128.42951468809645</v>
      </c>
    </row>
    <row r="38" spans="1:17">
      <c r="A38" s="3">
        <v>42403</v>
      </c>
      <c r="B38" s="3"/>
      <c r="C38">
        <v>27</v>
      </c>
      <c r="D38" s="2" t="s">
        <v>2</v>
      </c>
      <c r="E38">
        <v>2</v>
      </c>
      <c r="F38">
        <v>5</v>
      </c>
      <c r="G38" s="4">
        <v>1.828532391048292</v>
      </c>
      <c r="H38" s="4">
        <v>425.01184599999988</v>
      </c>
      <c r="I38" s="4">
        <v>328.59512000000007</v>
      </c>
      <c r="J38" s="4">
        <v>25.345702479338854</v>
      </c>
      <c r="K38" s="4">
        <v>2.1715158276011755</v>
      </c>
      <c r="L38" s="4">
        <f t="shared" si="0"/>
        <v>23.174186651737678</v>
      </c>
      <c r="M38" s="4">
        <v>91.605460251046026</v>
      </c>
      <c r="N38" s="4">
        <v>101.13162162162162</v>
      </c>
      <c r="O38" s="4">
        <v>135.9262181818182</v>
      </c>
      <c r="P38" s="4">
        <v>6.0704894643020078</v>
      </c>
      <c r="Q38" s="4">
        <f t="shared" si="1"/>
        <v>129.8557287175162</v>
      </c>
    </row>
    <row r="39" spans="1:17">
      <c r="A39" s="3">
        <v>42403</v>
      </c>
      <c r="B39" s="4">
        <f>A39-DATE(2016,1,1)</f>
        <v>33</v>
      </c>
      <c r="C39">
        <v>29</v>
      </c>
      <c r="D39" s="1" t="s">
        <v>3</v>
      </c>
      <c r="E39">
        <v>3</v>
      </c>
      <c r="F39">
        <v>5</v>
      </c>
      <c r="G39" s="4">
        <v>1.6491755005889281</v>
      </c>
      <c r="H39" s="4">
        <v>483.7581090000001</v>
      </c>
      <c r="I39" s="4">
        <v>402.66997999999995</v>
      </c>
      <c r="J39" s="4">
        <v>100.44246418338108</v>
      </c>
      <c r="K39" s="4">
        <v>12.337610804277293</v>
      </c>
      <c r="L39" s="4">
        <f t="shared" si="0"/>
        <v>88.104853379103787</v>
      </c>
      <c r="M39" s="4">
        <v>106.68039837030331</v>
      </c>
      <c r="N39" s="4">
        <v>110.9325438180957</v>
      </c>
      <c r="O39" s="4">
        <v>242.755</v>
      </c>
      <c r="P39" s="4">
        <v>48.686528636106537</v>
      </c>
      <c r="Q39" s="4">
        <f t="shared" si="1"/>
        <v>194.06847136389345</v>
      </c>
    </row>
    <row r="40" spans="1:17">
      <c r="A40" s="3">
        <v>42403</v>
      </c>
      <c r="B40" s="3"/>
      <c r="C40">
        <v>33</v>
      </c>
      <c r="D40" s="2" t="s">
        <v>2</v>
      </c>
      <c r="E40">
        <v>3</v>
      </c>
      <c r="F40">
        <v>5</v>
      </c>
      <c r="G40" s="4">
        <v>1.7994605418138987</v>
      </c>
      <c r="H40" s="4">
        <v>481.84090500000025</v>
      </c>
      <c r="I40" s="4">
        <v>351.51669000000004</v>
      </c>
      <c r="J40" s="4">
        <v>26.654782608695648</v>
      </c>
      <c r="K40" s="4">
        <v>1.5481449869589587</v>
      </c>
      <c r="L40" s="4">
        <f t="shared" si="0"/>
        <v>25.106637621736688</v>
      </c>
      <c r="M40" s="4">
        <v>85.482975837219158</v>
      </c>
      <c r="N40" s="4">
        <v>123.33846697280113</v>
      </c>
      <c r="O40" s="4">
        <v>178.35994300695316</v>
      </c>
      <c r="P40" s="4">
        <v>5.3195718046663334</v>
      </c>
      <c r="Q40" s="4">
        <f t="shared" si="1"/>
        <v>173.04037120228682</v>
      </c>
    </row>
    <row r="41" spans="1:17">
      <c r="A41" s="3">
        <v>42403</v>
      </c>
      <c r="B41" s="5">
        <f>A41-DATE(2016,1,1)</f>
        <v>33</v>
      </c>
      <c r="C41">
        <v>34</v>
      </c>
      <c r="D41" s="1" t="s">
        <v>4</v>
      </c>
      <c r="E41">
        <v>3</v>
      </c>
      <c r="F41">
        <v>5</v>
      </c>
      <c r="H41" s="4">
        <v>346.14040999999997</v>
      </c>
      <c r="I41" s="4">
        <v>253.42800000000003</v>
      </c>
      <c r="J41" s="4">
        <v>0</v>
      </c>
      <c r="K41" s="4">
        <v>0</v>
      </c>
      <c r="L41" s="4">
        <f t="shared" si="0"/>
        <v>0</v>
      </c>
      <c r="M41" s="4">
        <v>158.04018223234624</v>
      </c>
      <c r="N41" s="4">
        <v>119.21470588235294</v>
      </c>
      <c r="O41" s="4">
        <v>186.64878809944869</v>
      </c>
      <c r="P41" s="4">
        <v>13.927092969604903</v>
      </c>
      <c r="Q41" s="4">
        <f t="shared" si="1"/>
        <v>172.72169512984379</v>
      </c>
    </row>
  </sheetData>
  <sortState ref="A2:K41">
    <sortCondition ref="A1"/>
  </sortState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8"/>
  <sheetViews>
    <sheetView tabSelected="1" workbookViewId="0">
      <selection activeCell="D51" sqref="D51"/>
    </sheetView>
  </sheetViews>
  <sheetFormatPr defaultRowHeight="15"/>
  <cols>
    <col min="1" max="1" width="10.7109375" bestFit="1" customWidth="1"/>
    <col min="2" max="2" width="9.7109375" style="5" bestFit="1" customWidth="1"/>
    <col min="4" max="4" width="18.140625" customWidth="1"/>
    <col min="5" max="5" width="13.42578125" style="5" customWidth="1"/>
    <col min="8" max="8" width="23" bestFit="1" customWidth="1"/>
    <col min="9" max="9" width="23.85546875" bestFit="1" customWidth="1"/>
    <col min="10" max="10" width="23" bestFit="1" customWidth="1"/>
    <col min="11" max="11" width="51.140625" bestFit="1" customWidth="1"/>
  </cols>
  <sheetData>
    <row r="1" spans="1:11">
      <c r="A1" s="3" t="s">
        <v>0</v>
      </c>
      <c r="B1" s="5" t="s">
        <v>29</v>
      </c>
      <c r="C1" t="s">
        <v>5</v>
      </c>
      <c r="D1" t="s">
        <v>1</v>
      </c>
      <c r="E1" s="5" t="s">
        <v>21</v>
      </c>
      <c r="F1" t="s">
        <v>6</v>
      </c>
      <c r="G1" t="s">
        <v>18</v>
      </c>
      <c r="H1" t="s">
        <v>22</v>
      </c>
      <c r="I1" t="s">
        <v>24</v>
      </c>
      <c r="J1" t="s">
        <v>30</v>
      </c>
      <c r="K1" t="s">
        <v>31</v>
      </c>
    </row>
    <row r="2" spans="1:11">
      <c r="A2" s="3">
        <v>42366</v>
      </c>
      <c r="B2" s="5">
        <v>0</v>
      </c>
      <c r="C2">
        <v>9</v>
      </c>
      <c r="D2" s="2" t="s">
        <v>32</v>
      </c>
      <c r="E2" s="5">
        <v>1</v>
      </c>
      <c r="F2">
        <v>1</v>
      </c>
      <c r="G2">
        <v>1</v>
      </c>
      <c r="H2" s="4">
        <v>227.44486600000005</v>
      </c>
      <c r="I2" s="4">
        <v>115.61355019388193</v>
      </c>
      <c r="J2" s="4">
        <v>306.00139990000002</v>
      </c>
      <c r="K2" s="4">
        <v>36.720753599999995</v>
      </c>
    </row>
    <row r="3" spans="1:11">
      <c r="A3" s="3">
        <v>42366</v>
      </c>
      <c r="B3" s="5">
        <v>0</v>
      </c>
      <c r="C3">
        <v>17</v>
      </c>
      <c r="D3" s="2" t="s">
        <v>32</v>
      </c>
      <c r="E3" s="5">
        <v>1</v>
      </c>
      <c r="F3">
        <v>2</v>
      </c>
      <c r="G3">
        <v>1</v>
      </c>
      <c r="H3" s="4">
        <v>171.27983599999993</v>
      </c>
      <c r="I3" s="4">
        <v>120.87039999999999</v>
      </c>
      <c r="J3" s="4">
        <v>325.78593556155147</v>
      </c>
      <c r="K3" s="4">
        <v>34.267674341510393</v>
      </c>
    </row>
    <row r="4" spans="1:11">
      <c r="A4" s="3">
        <v>42366</v>
      </c>
      <c r="B4" s="5">
        <v>0</v>
      </c>
      <c r="C4">
        <v>24</v>
      </c>
      <c r="D4" s="2" t="s">
        <v>32</v>
      </c>
      <c r="E4" s="5">
        <v>1</v>
      </c>
      <c r="F4">
        <v>3</v>
      </c>
      <c r="G4">
        <v>1</v>
      </c>
      <c r="H4" s="4">
        <v>247.7128180000002</v>
      </c>
      <c r="I4" s="4">
        <v>116.63097801364671</v>
      </c>
      <c r="J4" s="4">
        <v>358.75361389915389</v>
      </c>
      <c r="K4" s="4">
        <v>50.390339875230822</v>
      </c>
    </row>
    <row r="5" spans="1:11">
      <c r="A5" s="3">
        <v>42366</v>
      </c>
      <c r="B5" s="5">
        <v>0</v>
      </c>
      <c r="C5">
        <v>31</v>
      </c>
      <c r="D5" s="2" t="s">
        <v>32</v>
      </c>
      <c r="E5" s="5">
        <v>1</v>
      </c>
      <c r="F5">
        <v>4</v>
      </c>
      <c r="G5">
        <v>1</v>
      </c>
      <c r="H5" s="4">
        <v>166.76766399999997</v>
      </c>
      <c r="I5" s="4">
        <v>126.90095548733692</v>
      </c>
      <c r="J5" s="4">
        <v>285.39741845271635</v>
      </c>
      <c r="K5" s="4">
        <v>27.539664707012541</v>
      </c>
    </row>
    <row r="6" spans="1:11">
      <c r="A6" s="3">
        <v>42366</v>
      </c>
      <c r="B6" s="5">
        <v>0</v>
      </c>
      <c r="C6">
        <v>9</v>
      </c>
      <c r="D6" s="1" t="s">
        <v>33</v>
      </c>
      <c r="E6" s="1">
        <v>0</v>
      </c>
      <c r="F6">
        <v>1</v>
      </c>
      <c r="G6">
        <v>1</v>
      </c>
      <c r="H6" s="4">
        <v>227.44486600000005</v>
      </c>
      <c r="I6" s="4">
        <v>115.61355019388193</v>
      </c>
      <c r="J6" s="4">
        <v>306.00139990000002</v>
      </c>
      <c r="K6" s="4">
        <v>36.720753599999995</v>
      </c>
    </row>
    <row r="7" spans="1:11">
      <c r="A7" s="3">
        <v>42366</v>
      </c>
      <c r="B7" s="5">
        <v>0</v>
      </c>
      <c r="C7">
        <v>17</v>
      </c>
      <c r="D7" s="1" t="s">
        <v>33</v>
      </c>
      <c r="E7" s="1">
        <v>0</v>
      </c>
      <c r="F7">
        <v>2</v>
      </c>
      <c r="G7">
        <v>1</v>
      </c>
      <c r="H7" s="4">
        <v>171.27983599999993</v>
      </c>
      <c r="I7" s="4">
        <v>120.87039999999999</v>
      </c>
      <c r="J7" s="4">
        <v>325.78593556155147</v>
      </c>
      <c r="K7" s="4">
        <v>34.267674341510393</v>
      </c>
    </row>
    <row r="8" spans="1:11">
      <c r="A8" s="3">
        <v>42366</v>
      </c>
      <c r="B8" s="5">
        <v>0</v>
      </c>
      <c r="C8">
        <v>24</v>
      </c>
      <c r="D8" s="1" t="s">
        <v>33</v>
      </c>
      <c r="E8" s="1">
        <v>0</v>
      </c>
      <c r="F8">
        <v>3</v>
      </c>
      <c r="G8">
        <v>1</v>
      </c>
      <c r="H8" s="4">
        <v>247.7128180000002</v>
      </c>
      <c r="I8" s="4">
        <v>116.63097801364671</v>
      </c>
      <c r="J8" s="4">
        <v>358.75361389915389</v>
      </c>
      <c r="K8" s="4">
        <v>50.390339875230822</v>
      </c>
    </row>
    <row r="9" spans="1:11">
      <c r="A9" s="3">
        <v>42366</v>
      </c>
      <c r="B9" s="5">
        <v>0</v>
      </c>
      <c r="C9">
        <v>31</v>
      </c>
      <c r="D9" s="1" t="s">
        <v>33</v>
      </c>
      <c r="E9" s="1">
        <v>0</v>
      </c>
      <c r="F9">
        <v>4</v>
      </c>
      <c r="G9">
        <v>1</v>
      </c>
      <c r="H9" s="4">
        <v>166.76766399999997</v>
      </c>
      <c r="I9" s="4">
        <v>126.90095548733692</v>
      </c>
      <c r="J9" s="4">
        <v>285.39741845271635</v>
      </c>
      <c r="K9" s="4">
        <v>27.539664707012541</v>
      </c>
    </row>
    <row r="10" spans="1:11">
      <c r="A10" s="3">
        <v>42366</v>
      </c>
      <c r="B10" s="5">
        <v>0</v>
      </c>
      <c r="C10">
        <v>9</v>
      </c>
      <c r="D10" s="1" t="s">
        <v>34</v>
      </c>
      <c r="E10" s="1">
        <v>2</v>
      </c>
      <c r="F10">
        <v>1</v>
      </c>
      <c r="G10">
        <v>1</v>
      </c>
      <c r="H10" s="4">
        <v>227.44486600000005</v>
      </c>
      <c r="I10" s="4">
        <v>115.61355019388193</v>
      </c>
      <c r="J10" s="4">
        <v>306.00139990000002</v>
      </c>
      <c r="K10" s="4">
        <v>36.720753599999995</v>
      </c>
    </row>
    <row r="11" spans="1:11">
      <c r="A11" s="3">
        <v>42366</v>
      </c>
      <c r="B11" s="5">
        <v>0</v>
      </c>
      <c r="C11">
        <v>17</v>
      </c>
      <c r="D11" s="1" t="s">
        <v>34</v>
      </c>
      <c r="E11" s="1">
        <v>2</v>
      </c>
      <c r="F11">
        <v>2</v>
      </c>
      <c r="G11">
        <v>1</v>
      </c>
      <c r="H11" s="4">
        <v>171.27983599999993</v>
      </c>
      <c r="I11" s="4">
        <v>120.87039999999999</v>
      </c>
      <c r="J11" s="4">
        <v>325.78593556155147</v>
      </c>
      <c r="K11" s="4">
        <v>34.267674341510393</v>
      </c>
    </row>
    <row r="12" spans="1:11">
      <c r="A12" s="3">
        <v>42366</v>
      </c>
      <c r="B12" s="5">
        <v>0</v>
      </c>
      <c r="C12">
        <v>24</v>
      </c>
      <c r="D12" s="1" t="s">
        <v>34</v>
      </c>
      <c r="E12" s="1">
        <v>2</v>
      </c>
      <c r="F12">
        <v>3</v>
      </c>
      <c r="G12">
        <v>1</v>
      </c>
      <c r="H12" s="4">
        <v>247.7128180000002</v>
      </c>
      <c r="I12" s="4">
        <v>116.63097801364671</v>
      </c>
      <c r="J12" s="4">
        <v>358.75361389915389</v>
      </c>
      <c r="K12" s="4">
        <v>50.390339875230822</v>
      </c>
    </row>
    <row r="13" spans="1:11">
      <c r="A13" s="3">
        <v>42366</v>
      </c>
      <c r="B13" s="5">
        <v>0</v>
      </c>
      <c r="C13">
        <v>31</v>
      </c>
      <c r="D13" s="1" t="s">
        <v>34</v>
      </c>
      <c r="E13" s="1">
        <v>2</v>
      </c>
      <c r="F13">
        <v>4</v>
      </c>
      <c r="G13">
        <v>1</v>
      </c>
      <c r="H13" s="4">
        <v>166.76766399999997</v>
      </c>
      <c r="I13" s="4">
        <v>126.90095548733692</v>
      </c>
      <c r="J13" s="4">
        <v>285.39741845271635</v>
      </c>
      <c r="K13" s="4">
        <v>27.539664707012541</v>
      </c>
    </row>
    <row r="14" spans="1:11">
      <c r="A14" s="3">
        <v>42375</v>
      </c>
      <c r="B14" s="5">
        <v>9</v>
      </c>
      <c r="C14">
        <v>5</v>
      </c>
      <c r="D14" s="2" t="s">
        <v>32</v>
      </c>
      <c r="E14" s="5">
        <v>1</v>
      </c>
      <c r="F14">
        <v>1</v>
      </c>
      <c r="G14">
        <v>2</v>
      </c>
      <c r="H14" s="4">
        <v>315.54361300000005</v>
      </c>
      <c r="I14" s="4">
        <v>103.46477322765303</v>
      </c>
      <c r="J14" s="4">
        <v>253.73890021672699</v>
      </c>
      <c r="K14" s="4">
        <v>19.053270762414417</v>
      </c>
    </row>
    <row r="15" spans="1:11">
      <c r="A15" s="3">
        <v>42375</v>
      </c>
      <c r="B15" s="5">
        <v>9</v>
      </c>
      <c r="C15">
        <v>10</v>
      </c>
      <c r="D15" s="1" t="s">
        <v>33</v>
      </c>
      <c r="E15" s="1">
        <v>0</v>
      </c>
      <c r="F15">
        <v>1</v>
      </c>
      <c r="G15">
        <v>2</v>
      </c>
      <c r="H15" s="4">
        <v>239.9543799999999</v>
      </c>
      <c r="I15" s="4">
        <v>119.93010727056019</v>
      </c>
      <c r="J15" s="4">
        <v>359.15609344535784</v>
      </c>
      <c r="K15" s="4">
        <v>39.354206448241243</v>
      </c>
    </row>
    <row r="16" spans="1:11">
      <c r="A16" s="3">
        <v>42375</v>
      </c>
      <c r="B16" s="5">
        <v>9</v>
      </c>
      <c r="C16">
        <v>11</v>
      </c>
      <c r="D16" s="1" t="s">
        <v>34</v>
      </c>
      <c r="E16" s="1">
        <v>2</v>
      </c>
      <c r="F16">
        <v>1</v>
      </c>
      <c r="G16">
        <v>2</v>
      </c>
      <c r="H16" s="4">
        <v>311.51631300000008</v>
      </c>
      <c r="I16" s="4">
        <v>111.84631832797429</v>
      </c>
      <c r="J16" s="4">
        <v>402.68346823545227</v>
      </c>
      <c r="K16" s="4">
        <v>30.554096319396745</v>
      </c>
    </row>
    <row r="17" spans="1:11">
      <c r="A17" s="3">
        <v>42375</v>
      </c>
      <c r="B17" s="5">
        <v>9</v>
      </c>
      <c r="C17">
        <v>12</v>
      </c>
      <c r="D17" s="1" t="s">
        <v>33</v>
      </c>
      <c r="E17" s="1">
        <v>0</v>
      </c>
      <c r="F17">
        <v>2</v>
      </c>
      <c r="G17">
        <v>2</v>
      </c>
      <c r="H17" s="4">
        <v>420.70162500000015</v>
      </c>
      <c r="I17" s="4">
        <v>131.13402829486225</v>
      </c>
      <c r="J17" s="4">
        <v>485.94065029266181</v>
      </c>
      <c r="K17" s="4">
        <v>57.704377045606407</v>
      </c>
    </row>
    <row r="18" spans="1:11">
      <c r="A18" s="3">
        <v>42375</v>
      </c>
      <c r="B18" s="5">
        <v>9</v>
      </c>
      <c r="C18">
        <v>20</v>
      </c>
      <c r="D18" s="2" t="s">
        <v>32</v>
      </c>
      <c r="E18" s="5">
        <v>1</v>
      </c>
      <c r="F18">
        <v>2</v>
      </c>
      <c r="G18">
        <v>2</v>
      </c>
      <c r="H18" s="4">
        <v>306.16169799999989</v>
      </c>
      <c r="I18" s="4">
        <v>167.7974732803508</v>
      </c>
      <c r="J18" s="4">
        <v>332.99267974430182</v>
      </c>
      <c r="K18" s="4">
        <v>16.86372597668154</v>
      </c>
    </row>
    <row r="19" spans="1:11">
      <c r="A19" s="3">
        <v>42375</v>
      </c>
      <c r="B19" s="5">
        <v>9</v>
      </c>
      <c r="C19">
        <v>21</v>
      </c>
      <c r="D19" s="2" t="s">
        <v>32</v>
      </c>
      <c r="E19" s="5">
        <v>1</v>
      </c>
      <c r="F19">
        <v>3</v>
      </c>
      <c r="G19">
        <v>2</v>
      </c>
      <c r="H19" s="4">
        <v>254.74760599999991</v>
      </c>
      <c r="I19" s="4">
        <v>126.93024546424759</v>
      </c>
      <c r="J19" s="4">
        <v>337.68936131301695</v>
      </c>
      <c r="K19" s="4">
        <v>27.595251880311665</v>
      </c>
    </row>
    <row r="20" spans="1:11">
      <c r="A20" s="3">
        <v>42375</v>
      </c>
      <c r="B20" s="5">
        <v>9</v>
      </c>
      <c r="C20">
        <v>28</v>
      </c>
      <c r="D20" s="1" t="s">
        <v>34</v>
      </c>
      <c r="E20" s="1">
        <v>2</v>
      </c>
      <c r="F20">
        <v>2</v>
      </c>
      <c r="G20">
        <v>2</v>
      </c>
      <c r="H20" s="4">
        <v>198.19612499999994</v>
      </c>
      <c r="I20" s="4">
        <v>112.48416262135922</v>
      </c>
      <c r="J20" s="4">
        <v>302.7993229344915</v>
      </c>
      <c r="K20" s="4">
        <v>24.841932495969427</v>
      </c>
    </row>
    <row r="21" spans="1:11">
      <c r="A21" s="3">
        <v>42375</v>
      </c>
      <c r="B21" s="5">
        <v>9</v>
      </c>
      <c r="C21">
        <v>36</v>
      </c>
      <c r="D21" s="1" t="s">
        <v>33</v>
      </c>
      <c r="E21" s="1">
        <v>0</v>
      </c>
      <c r="F21">
        <v>3</v>
      </c>
      <c r="G21">
        <v>2</v>
      </c>
      <c r="H21" s="4">
        <v>353.16337199999998</v>
      </c>
      <c r="I21" s="4">
        <v>125.79965517241379</v>
      </c>
      <c r="J21" s="4">
        <v>385.61856483225756</v>
      </c>
      <c r="K21" s="4">
        <v>34.320483737279687</v>
      </c>
    </row>
    <row r="22" spans="1:11">
      <c r="A22" s="3">
        <v>42375</v>
      </c>
      <c r="B22" s="5">
        <v>9</v>
      </c>
      <c r="C22">
        <v>37</v>
      </c>
      <c r="D22" s="1" t="s">
        <v>34</v>
      </c>
      <c r="E22" s="1">
        <v>2</v>
      </c>
      <c r="F22">
        <v>3</v>
      </c>
      <c r="G22">
        <v>2</v>
      </c>
      <c r="H22" s="4">
        <v>306.03938399999993</v>
      </c>
      <c r="I22" s="4">
        <v>113.90442508710802</v>
      </c>
      <c r="J22" s="4">
        <v>307.9445858267631</v>
      </c>
      <c r="K22" s="4">
        <v>21.564380509517559</v>
      </c>
    </row>
    <row r="23" spans="1:11">
      <c r="A23" s="3">
        <v>42384</v>
      </c>
      <c r="B23" s="5">
        <v>18</v>
      </c>
      <c r="C23">
        <v>1</v>
      </c>
      <c r="D23" s="2" t="s">
        <v>32</v>
      </c>
      <c r="E23" s="5">
        <v>1</v>
      </c>
      <c r="F23">
        <v>1</v>
      </c>
      <c r="G23">
        <v>3</v>
      </c>
      <c r="H23" s="4">
        <v>377.97536700000023</v>
      </c>
      <c r="I23" s="4">
        <v>122.6543085106383</v>
      </c>
      <c r="J23" s="4">
        <v>377.92972980028361</v>
      </c>
      <c r="K23" s="4">
        <v>28.281753408217824</v>
      </c>
    </row>
    <row r="24" spans="1:11">
      <c r="A24" s="3">
        <v>42384</v>
      </c>
      <c r="B24" s="5">
        <v>18</v>
      </c>
      <c r="C24">
        <v>2</v>
      </c>
      <c r="D24" s="1" t="s">
        <v>33</v>
      </c>
      <c r="E24" s="1">
        <v>0</v>
      </c>
      <c r="F24">
        <v>1</v>
      </c>
      <c r="G24">
        <v>3</v>
      </c>
      <c r="H24" s="4">
        <v>408.05716800000005</v>
      </c>
      <c r="I24" s="4">
        <v>127.06163421153111</v>
      </c>
      <c r="J24" s="4">
        <v>426.18262921437292</v>
      </c>
      <c r="K24" s="4">
        <v>33.167733577884817</v>
      </c>
    </row>
    <row r="25" spans="1:11">
      <c r="A25" s="3">
        <v>42384</v>
      </c>
      <c r="B25" s="5">
        <v>18</v>
      </c>
      <c r="C25">
        <v>14</v>
      </c>
      <c r="D25" s="1" t="s">
        <v>34</v>
      </c>
      <c r="E25" s="1">
        <v>2</v>
      </c>
      <c r="F25">
        <v>1</v>
      </c>
      <c r="G25">
        <v>3</v>
      </c>
      <c r="H25" s="4">
        <v>258.37324600000011</v>
      </c>
      <c r="I25" s="4">
        <v>110.77194280908327</v>
      </c>
      <c r="J25" s="4">
        <v>422.35659690819381</v>
      </c>
      <c r="K25" s="4">
        <v>25.520097596408533</v>
      </c>
    </row>
    <row r="26" spans="1:11">
      <c r="A26" s="3">
        <v>42384</v>
      </c>
      <c r="B26" s="5">
        <v>18</v>
      </c>
      <c r="C26">
        <v>19</v>
      </c>
      <c r="D26" s="2" t="s">
        <v>32</v>
      </c>
      <c r="E26" s="5">
        <v>1</v>
      </c>
      <c r="F26">
        <v>2</v>
      </c>
      <c r="G26">
        <v>3</v>
      </c>
      <c r="H26" s="4">
        <v>349.21546199999989</v>
      </c>
      <c r="I26" s="4">
        <v>109.06325123152709</v>
      </c>
      <c r="J26" s="4">
        <v>219.05236422688898</v>
      </c>
      <c r="K26" s="4">
        <v>10.054429433653986</v>
      </c>
    </row>
    <row r="27" spans="1:11">
      <c r="A27" s="3">
        <v>42384</v>
      </c>
      <c r="B27" s="5">
        <v>18</v>
      </c>
      <c r="C27">
        <v>22</v>
      </c>
      <c r="D27" s="1" t="s">
        <v>34</v>
      </c>
      <c r="E27" s="1">
        <v>2</v>
      </c>
      <c r="F27">
        <v>2</v>
      </c>
      <c r="G27">
        <v>3</v>
      </c>
      <c r="H27" s="4">
        <v>304.1840000000002</v>
      </c>
      <c r="I27" s="4">
        <v>124.29363101800809</v>
      </c>
      <c r="J27" s="4">
        <v>342.36505806704429</v>
      </c>
      <c r="K27" s="4">
        <v>28.164069094637746</v>
      </c>
    </row>
    <row r="28" spans="1:11">
      <c r="A28" s="3">
        <v>42384</v>
      </c>
      <c r="B28" s="5">
        <v>18</v>
      </c>
      <c r="C28">
        <v>25</v>
      </c>
      <c r="D28" s="2" t="s">
        <v>32</v>
      </c>
      <c r="E28" s="5">
        <v>1</v>
      </c>
      <c r="F28">
        <v>3</v>
      </c>
      <c r="G28">
        <v>3</v>
      </c>
      <c r="H28" s="4">
        <v>340.96478400000001</v>
      </c>
      <c r="I28" s="4">
        <v>103.55343979283558</v>
      </c>
      <c r="J28" s="4">
        <v>258.61122568128587</v>
      </c>
      <c r="K28" s="4">
        <v>12.865370382258012</v>
      </c>
    </row>
    <row r="29" spans="1:11">
      <c r="A29" s="3">
        <v>42384</v>
      </c>
      <c r="B29" s="5">
        <v>18</v>
      </c>
      <c r="C29">
        <v>26</v>
      </c>
      <c r="D29" s="1" t="s">
        <v>33</v>
      </c>
      <c r="E29" s="1">
        <v>0</v>
      </c>
      <c r="F29">
        <v>2</v>
      </c>
      <c r="G29">
        <v>3</v>
      </c>
      <c r="H29" s="4">
        <v>475.29014000000006</v>
      </c>
      <c r="I29" s="4">
        <v>131.15738841755808</v>
      </c>
      <c r="J29" s="4">
        <v>318.54302220004428</v>
      </c>
      <c r="K29" s="4">
        <v>21.812864065175081</v>
      </c>
    </row>
    <row r="30" spans="1:11">
      <c r="A30" s="3">
        <v>42384</v>
      </c>
      <c r="B30" s="5">
        <v>18</v>
      </c>
      <c r="C30">
        <v>39</v>
      </c>
      <c r="D30" s="1" t="s">
        <v>33</v>
      </c>
      <c r="E30" s="1">
        <v>0</v>
      </c>
      <c r="F30">
        <v>3</v>
      </c>
      <c r="G30">
        <v>3</v>
      </c>
      <c r="H30" s="4">
        <v>486.75366899999995</v>
      </c>
      <c r="I30" s="4">
        <v>120.20286902286902</v>
      </c>
      <c r="J30" s="4">
        <v>394.10739954242308</v>
      </c>
      <c r="K30" s="4">
        <v>33.972867700221492</v>
      </c>
    </row>
    <row r="31" spans="1:11">
      <c r="A31" s="3">
        <v>42384</v>
      </c>
      <c r="B31" s="5">
        <v>18</v>
      </c>
      <c r="C31">
        <v>40</v>
      </c>
      <c r="D31" s="1" t="s">
        <v>34</v>
      </c>
      <c r="E31" s="1">
        <v>2</v>
      </c>
      <c r="F31">
        <v>3</v>
      </c>
      <c r="G31">
        <v>3</v>
      </c>
      <c r="H31" s="4">
        <v>339.81258899999989</v>
      </c>
      <c r="I31" s="4">
        <v>101.25371783496007</v>
      </c>
      <c r="J31" s="4">
        <v>172.61072930775634</v>
      </c>
      <c r="K31" s="4">
        <v>9.1787428954151995</v>
      </c>
    </row>
    <row r="32" spans="1:11">
      <c r="A32" s="3">
        <v>42394</v>
      </c>
      <c r="B32" s="5">
        <v>28</v>
      </c>
      <c r="C32">
        <v>4</v>
      </c>
      <c r="D32" s="1" t="s">
        <v>34</v>
      </c>
      <c r="E32" s="1">
        <v>2</v>
      </c>
      <c r="F32">
        <v>1</v>
      </c>
      <c r="G32">
        <v>4</v>
      </c>
      <c r="H32" s="4">
        <v>337.89658000000009</v>
      </c>
      <c r="I32" s="4">
        <v>126.71195278969957</v>
      </c>
      <c r="J32" s="4">
        <v>367.8619309687279</v>
      </c>
      <c r="K32" s="4">
        <v>12.744087055353395</v>
      </c>
    </row>
    <row r="33" spans="1:11">
      <c r="A33" s="3">
        <v>42394</v>
      </c>
      <c r="B33" s="5">
        <v>28</v>
      </c>
      <c r="C33">
        <v>7</v>
      </c>
      <c r="D33" s="2" t="s">
        <v>32</v>
      </c>
      <c r="E33" s="5">
        <v>1</v>
      </c>
      <c r="F33">
        <v>1</v>
      </c>
      <c r="G33">
        <v>4</v>
      </c>
      <c r="H33" s="4">
        <v>356.73726800000009</v>
      </c>
      <c r="I33" s="4">
        <v>105.34446519524619</v>
      </c>
      <c r="J33" s="4">
        <v>303.41169420933022</v>
      </c>
      <c r="K33" s="4">
        <v>12.203542721828812</v>
      </c>
    </row>
    <row r="34" spans="1:11">
      <c r="A34" s="3">
        <v>42394</v>
      </c>
      <c r="B34" s="5">
        <v>28</v>
      </c>
      <c r="C34">
        <v>13</v>
      </c>
      <c r="D34" s="2" t="s">
        <v>32</v>
      </c>
      <c r="E34" s="5">
        <v>1</v>
      </c>
      <c r="F34">
        <v>2</v>
      </c>
      <c r="G34">
        <v>4</v>
      </c>
      <c r="H34" s="4">
        <v>378.87833100000012</v>
      </c>
      <c r="I34" s="4">
        <v>101.07431778929188</v>
      </c>
      <c r="J34" s="4">
        <v>213.75152113878559</v>
      </c>
      <c r="K34" s="4">
        <v>6.0270424315282778</v>
      </c>
    </row>
    <row r="35" spans="1:11">
      <c r="A35" s="3">
        <v>42394</v>
      </c>
      <c r="B35" s="5">
        <v>28</v>
      </c>
      <c r="C35">
        <v>16</v>
      </c>
      <c r="D35" s="1" t="s">
        <v>33</v>
      </c>
      <c r="E35" s="1">
        <v>0</v>
      </c>
      <c r="F35">
        <v>1</v>
      </c>
      <c r="G35">
        <v>4</v>
      </c>
      <c r="H35" s="4">
        <v>459.97125899999992</v>
      </c>
      <c r="I35" s="4">
        <v>113.556381549485</v>
      </c>
      <c r="J35" s="4">
        <v>367.04192403367762</v>
      </c>
      <c r="K35" s="4">
        <v>29.312395654737717</v>
      </c>
    </row>
    <row r="36" spans="1:11">
      <c r="A36" s="3">
        <v>42394</v>
      </c>
      <c r="B36" s="5">
        <v>28</v>
      </c>
      <c r="C36">
        <v>23</v>
      </c>
      <c r="D36" s="1" t="s">
        <v>33</v>
      </c>
      <c r="E36" s="1">
        <v>0</v>
      </c>
      <c r="F36">
        <v>2</v>
      </c>
      <c r="G36">
        <v>4</v>
      </c>
      <c r="H36" s="4">
        <v>616.42320299999983</v>
      </c>
      <c r="I36" s="4">
        <v>124.1518872651357</v>
      </c>
      <c r="J36" s="4">
        <v>454.64252564989084</v>
      </c>
      <c r="K36" s="4">
        <v>38.173584067104635</v>
      </c>
    </row>
    <row r="37" spans="1:11">
      <c r="A37" s="3">
        <v>42394</v>
      </c>
      <c r="B37" s="5">
        <v>28</v>
      </c>
      <c r="C37">
        <v>30</v>
      </c>
      <c r="D37" s="1" t="s">
        <v>34</v>
      </c>
      <c r="E37" s="1">
        <v>2</v>
      </c>
      <c r="F37">
        <v>2</v>
      </c>
      <c r="G37">
        <v>4</v>
      </c>
      <c r="H37" s="4">
        <v>309.32296999999994</v>
      </c>
      <c r="I37" s="4">
        <v>89.455524134568506</v>
      </c>
      <c r="J37" s="4">
        <v>240.06612541030398</v>
      </c>
      <c r="K37" s="4">
        <v>7.9647471225530841</v>
      </c>
    </row>
    <row r="38" spans="1:11">
      <c r="A38" s="3">
        <v>42394</v>
      </c>
      <c r="B38" s="5">
        <v>28</v>
      </c>
      <c r="C38">
        <v>32</v>
      </c>
      <c r="D38" s="1" t="s">
        <v>34</v>
      </c>
      <c r="E38" s="1">
        <v>2</v>
      </c>
      <c r="F38">
        <v>3</v>
      </c>
      <c r="G38">
        <v>4</v>
      </c>
      <c r="H38" s="4">
        <v>319.59042999999997</v>
      </c>
      <c r="I38" s="4">
        <v>129.65591630104623</v>
      </c>
      <c r="J38" s="4">
        <v>341.52297354913622</v>
      </c>
      <c r="K38" s="4">
        <v>12.061768705110371</v>
      </c>
    </row>
    <row r="39" spans="1:11">
      <c r="A39" s="3">
        <v>42394</v>
      </c>
      <c r="B39" s="5">
        <v>28</v>
      </c>
      <c r="C39">
        <v>35</v>
      </c>
      <c r="D39" s="2" t="s">
        <v>32</v>
      </c>
      <c r="E39" s="5">
        <v>1</v>
      </c>
      <c r="F39">
        <v>3</v>
      </c>
      <c r="G39">
        <v>4</v>
      </c>
      <c r="H39" s="4">
        <v>359.46586200000002</v>
      </c>
      <c r="I39" s="4">
        <v>93.747317298797398</v>
      </c>
      <c r="J39" s="4">
        <v>281.57913911964624</v>
      </c>
      <c r="K39" s="4">
        <v>6.4556625325388133</v>
      </c>
    </row>
    <row r="40" spans="1:11">
      <c r="A40" s="3">
        <v>42394</v>
      </c>
      <c r="B40" s="5">
        <v>28</v>
      </c>
      <c r="C40">
        <v>38</v>
      </c>
      <c r="D40" s="1" t="s">
        <v>33</v>
      </c>
      <c r="E40" s="1">
        <v>0</v>
      </c>
      <c r="F40">
        <v>3</v>
      </c>
      <c r="G40">
        <v>4</v>
      </c>
      <c r="H40" s="4">
        <v>554.79035700000009</v>
      </c>
      <c r="I40" s="4">
        <v>137.32163323782234</v>
      </c>
      <c r="J40" s="4">
        <v>334.83986244160292</v>
      </c>
      <c r="K40" s="4">
        <v>22.212552806618749</v>
      </c>
    </row>
    <row r="41" spans="1:11">
      <c r="A41" s="3">
        <v>42403</v>
      </c>
      <c r="B41" s="5">
        <v>37</v>
      </c>
      <c r="C41">
        <v>3</v>
      </c>
      <c r="D41" s="1" t="s">
        <v>33</v>
      </c>
      <c r="E41" s="1">
        <v>0</v>
      </c>
      <c r="F41">
        <v>1</v>
      </c>
      <c r="G41">
        <v>5</v>
      </c>
      <c r="H41" s="4">
        <v>579.60827100000006</v>
      </c>
      <c r="I41" s="4">
        <v>123.72129137719656</v>
      </c>
      <c r="J41" s="4">
        <v>376.62138915054499</v>
      </c>
      <c r="K41" s="4">
        <v>36.452471394180918</v>
      </c>
    </row>
    <row r="42" spans="1:11">
      <c r="A42" s="3">
        <v>42403</v>
      </c>
      <c r="B42" s="5">
        <v>37</v>
      </c>
      <c r="C42">
        <v>6</v>
      </c>
      <c r="D42" s="1" t="s">
        <v>34</v>
      </c>
      <c r="E42" s="1">
        <v>2</v>
      </c>
      <c r="F42">
        <v>1</v>
      </c>
      <c r="G42">
        <v>5</v>
      </c>
      <c r="H42" s="4">
        <v>315.71692799999983</v>
      </c>
      <c r="I42" s="4">
        <v>89.049870875179352</v>
      </c>
      <c r="J42" s="4">
        <v>256.00924245481542</v>
      </c>
      <c r="K42" s="4">
        <v>6.7312094605012955</v>
      </c>
    </row>
    <row r="43" spans="1:11">
      <c r="A43" s="3">
        <v>42403</v>
      </c>
      <c r="B43" s="5">
        <v>37</v>
      </c>
      <c r="C43">
        <v>8</v>
      </c>
      <c r="D43" s="2" t="s">
        <v>32</v>
      </c>
      <c r="E43" s="5">
        <v>1</v>
      </c>
      <c r="F43">
        <v>1</v>
      </c>
      <c r="G43">
        <v>5</v>
      </c>
      <c r="H43" s="4">
        <v>313.80648800000017</v>
      </c>
      <c r="I43" s="4">
        <v>113.70589185129553</v>
      </c>
      <c r="J43" s="4">
        <v>214.48051773034621</v>
      </c>
      <c r="K43" s="4">
        <v>3.3641293777792294</v>
      </c>
    </row>
    <row r="44" spans="1:11">
      <c r="A44" s="3">
        <v>42403</v>
      </c>
      <c r="B44" s="5">
        <v>37</v>
      </c>
      <c r="C44">
        <v>15</v>
      </c>
      <c r="D44" s="1" t="s">
        <v>33</v>
      </c>
      <c r="E44" s="1">
        <v>0</v>
      </c>
      <c r="F44">
        <v>2</v>
      </c>
      <c r="G44">
        <v>5</v>
      </c>
      <c r="H44" s="4">
        <v>661.34148499999992</v>
      </c>
      <c r="I44" s="4">
        <v>147.74600355239789</v>
      </c>
      <c r="J44" s="4">
        <v>372.80184114947372</v>
      </c>
      <c r="K44" s="4">
        <v>45.799803566487157</v>
      </c>
    </row>
    <row r="45" spans="1:11">
      <c r="A45" s="3">
        <v>42403</v>
      </c>
      <c r="B45" s="5">
        <v>37</v>
      </c>
      <c r="C45">
        <v>18</v>
      </c>
      <c r="D45" s="1" t="s">
        <v>34</v>
      </c>
      <c r="E45" s="1">
        <v>2</v>
      </c>
      <c r="F45">
        <v>2</v>
      </c>
      <c r="G45">
        <v>5</v>
      </c>
      <c r="H45" s="4">
        <v>286.40885700000013</v>
      </c>
      <c r="I45" s="4">
        <v>104.22286189683861</v>
      </c>
      <c r="J45" s="4">
        <v>200.95958115246466</v>
      </c>
      <c r="K45" s="4">
        <v>4.7029298653258316</v>
      </c>
    </row>
    <row r="46" spans="1:11">
      <c r="A46" s="3">
        <v>42403</v>
      </c>
      <c r="B46" s="5">
        <v>37</v>
      </c>
      <c r="C46">
        <v>27</v>
      </c>
      <c r="D46" s="2" t="s">
        <v>32</v>
      </c>
      <c r="E46" s="5">
        <v>1</v>
      </c>
      <c r="F46">
        <v>2</v>
      </c>
      <c r="G46">
        <v>5</v>
      </c>
      <c r="H46" s="4">
        <v>425.01184599999988</v>
      </c>
      <c r="I46" s="4">
        <v>101.13162162162162</v>
      </c>
      <c r="J46" s="4">
        <v>204.66819957351473</v>
      </c>
      <c r="K46" s="4">
        <v>5.671590641521334</v>
      </c>
    </row>
    <row r="47" spans="1:11">
      <c r="A47" s="3">
        <v>42403</v>
      </c>
      <c r="B47" s="5">
        <v>37</v>
      </c>
      <c r="C47">
        <v>29</v>
      </c>
      <c r="D47" s="1" t="s">
        <v>33</v>
      </c>
      <c r="E47" s="1">
        <v>0</v>
      </c>
      <c r="F47">
        <v>3</v>
      </c>
      <c r="G47">
        <v>5</v>
      </c>
      <c r="H47" s="4">
        <v>483.7581090000001</v>
      </c>
      <c r="I47" s="4">
        <v>110.9325438180957</v>
      </c>
      <c r="J47" s="4">
        <v>365.5235130650787</v>
      </c>
      <c r="K47" s="4">
        <v>45.487281018195795</v>
      </c>
    </row>
    <row r="48" spans="1:11">
      <c r="A48" s="3">
        <v>42403</v>
      </c>
      <c r="B48" s="5">
        <v>37</v>
      </c>
      <c r="C48">
        <v>33</v>
      </c>
      <c r="D48" s="2" t="s">
        <v>32</v>
      </c>
      <c r="E48" s="5">
        <v>1</v>
      </c>
      <c r="F48">
        <v>3</v>
      </c>
      <c r="G48">
        <v>5</v>
      </c>
      <c r="H48" s="4">
        <v>481.84090500000025</v>
      </c>
      <c r="I48" s="4">
        <v>123.33846697280113</v>
      </c>
      <c r="J48" s="4">
        <v>268.56193675923765</v>
      </c>
      <c r="K48" s="4">
        <v>4.9700166422602239</v>
      </c>
    </row>
    <row r="49" spans="1:11">
      <c r="A49" s="3">
        <v>42403</v>
      </c>
      <c r="B49" s="5">
        <v>37</v>
      </c>
      <c r="C49">
        <v>34</v>
      </c>
      <c r="D49" s="1" t="s">
        <v>34</v>
      </c>
      <c r="E49" s="1">
        <v>2</v>
      </c>
      <c r="F49">
        <v>3</v>
      </c>
      <c r="G49">
        <v>5</v>
      </c>
      <c r="H49" s="4">
        <v>346.14040999999997</v>
      </c>
      <c r="I49" s="4">
        <v>119.21470588235294</v>
      </c>
      <c r="J49" s="4">
        <v>281.04270039937364</v>
      </c>
      <c r="K49" s="4">
        <v>13.011927722551606</v>
      </c>
    </row>
    <row r="50" spans="1:11">
      <c r="E50"/>
    </row>
    <row r="51" spans="1:11">
      <c r="E51"/>
    </row>
    <row r="52" spans="1:11">
      <c r="E52"/>
    </row>
    <row r="53" spans="1:11">
      <c r="E53"/>
    </row>
    <row r="54" spans="1:11">
      <c r="E54"/>
    </row>
    <row r="55" spans="1:11">
      <c r="E55"/>
    </row>
    <row r="56" spans="1:11">
      <c r="E56"/>
    </row>
    <row r="57" spans="1:11">
      <c r="E57"/>
    </row>
    <row r="58" spans="1:11">
      <c r="E58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"/>
  <sheetViews>
    <sheetView workbookViewId="0">
      <selection activeCell="I2" sqref="I2:I6"/>
    </sheetView>
  </sheetViews>
  <sheetFormatPr defaultRowHeight="15"/>
  <cols>
    <col min="3" max="3" width="17.42578125" bestFit="1" customWidth="1"/>
    <col min="5" max="5" width="16.7109375" bestFit="1" customWidth="1"/>
    <col min="10" max="10" width="12.28515625" bestFit="1" customWidth="1"/>
    <col min="11" max="11" width="12.85546875" bestFit="1" customWidth="1"/>
  </cols>
  <sheetData>
    <row r="1" spans="1:11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  <c r="K1" t="s">
        <v>31</v>
      </c>
    </row>
    <row r="2" spans="1:11">
      <c r="A2">
        <v>0</v>
      </c>
      <c r="B2">
        <v>203301.296</v>
      </c>
      <c r="C2">
        <v>33048.678240000001</v>
      </c>
      <c r="D2">
        <v>123268.6603</v>
      </c>
      <c r="E2">
        <v>275401.2599</v>
      </c>
      <c r="F2">
        <v>83066.148799999995</v>
      </c>
      <c r="G2">
        <v>94515.990659999996</v>
      </c>
      <c r="H2">
        <v>2837.7622510000001</v>
      </c>
      <c r="I2">
        <v>0</v>
      </c>
      <c r="J2">
        <v>306001.39990000002</v>
      </c>
      <c r="K2">
        <v>36720.753599999996</v>
      </c>
    </row>
    <row r="3" spans="1:11">
      <c r="A3">
        <v>0</v>
      </c>
      <c r="B3">
        <v>337939.79229999997</v>
      </c>
      <c r="C3">
        <v>38875.013189999998</v>
      </c>
      <c r="D3">
        <v>125621.26360000001</v>
      </c>
      <c r="E3">
        <v>354186.95770000003</v>
      </c>
      <c r="F3">
        <v>82185.986959999995</v>
      </c>
      <c r="G3">
        <v>110723.7752</v>
      </c>
      <c r="H3">
        <v>2415.4197680000002</v>
      </c>
      <c r="I3">
        <v>9</v>
      </c>
      <c r="J3">
        <v>393541.06410000002</v>
      </c>
      <c r="K3">
        <v>43194.4591</v>
      </c>
    </row>
    <row r="4" spans="1:11">
      <c r="A4">
        <v>0</v>
      </c>
      <c r="B4">
        <v>456700.32569999999</v>
      </c>
      <c r="C4">
        <v>26321.29464</v>
      </c>
      <c r="D4">
        <v>126140.6306</v>
      </c>
      <c r="E4">
        <v>327744.20760000002</v>
      </c>
      <c r="F4">
        <v>86918.498940000005</v>
      </c>
      <c r="G4">
        <v>101478.0288</v>
      </c>
      <c r="H4">
        <v>2084.6236100000001</v>
      </c>
      <c r="I4">
        <v>18</v>
      </c>
      <c r="J4">
        <v>364160.23070000001</v>
      </c>
      <c r="K4">
        <v>29245.88293</v>
      </c>
    </row>
    <row r="5" spans="1:11">
      <c r="A5">
        <v>0</v>
      </c>
      <c r="B5">
        <v>543728.27300000004</v>
      </c>
      <c r="C5">
        <v>26541.759730000002</v>
      </c>
      <c r="D5">
        <v>125009.96739999999</v>
      </c>
      <c r="E5">
        <v>332835.56709999999</v>
      </c>
      <c r="F5">
        <v>91288.247600000002</v>
      </c>
      <c r="G5">
        <v>104154.7157</v>
      </c>
      <c r="H5">
        <v>3828.780972</v>
      </c>
      <c r="I5">
        <v>28</v>
      </c>
      <c r="J5">
        <v>369817.29680000001</v>
      </c>
      <c r="K5">
        <v>29490.844140000001</v>
      </c>
    </row>
    <row r="6" spans="1:11">
      <c r="A6">
        <v>0</v>
      </c>
      <c r="B6">
        <v>574902.62170000002</v>
      </c>
      <c r="C6">
        <v>37798.083270000003</v>
      </c>
      <c r="D6">
        <v>127466.61289999999</v>
      </c>
      <c r="E6">
        <v>320869.97879999998</v>
      </c>
      <c r="F6">
        <v>103707.5787</v>
      </c>
      <c r="G6">
        <v>113409.6009</v>
      </c>
      <c r="H6">
        <v>5340.4298930000004</v>
      </c>
      <c r="I6">
        <v>37</v>
      </c>
      <c r="J6">
        <v>356522.19870000001</v>
      </c>
      <c r="K6">
        <v>41997.870300000002</v>
      </c>
    </row>
    <row r="7" spans="1:11">
      <c r="A7">
        <v>1</v>
      </c>
      <c r="B7">
        <v>203301.296</v>
      </c>
      <c r="C7">
        <v>33048.678240000001</v>
      </c>
      <c r="D7">
        <v>123268.6603</v>
      </c>
      <c r="E7">
        <v>275401.2599</v>
      </c>
      <c r="F7">
        <v>83066.148799999995</v>
      </c>
      <c r="G7">
        <v>94515.990659999996</v>
      </c>
      <c r="H7">
        <v>2837.7622510000001</v>
      </c>
      <c r="I7">
        <v>0</v>
      </c>
      <c r="J7">
        <v>306001.39990000002</v>
      </c>
      <c r="K7">
        <v>36720.753599999996</v>
      </c>
    </row>
    <row r="8" spans="1:11">
      <c r="A8">
        <v>1</v>
      </c>
      <c r="B8">
        <v>292150.97230000002</v>
      </c>
      <c r="C8">
        <v>18793.24884</v>
      </c>
      <c r="D8">
        <v>132730.83069999999</v>
      </c>
      <c r="E8">
        <v>266038.65130000003</v>
      </c>
      <c r="F8">
        <v>20849.11248</v>
      </c>
      <c r="G8">
        <v>79325.896529999998</v>
      </c>
      <c r="H8">
        <v>588.10206789999995</v>
      </c>
      <c r="I8">
        <v>9</v>
      </c>
      <c r="J8">
        <v>295598.50140000001</v>
      </c>
      <c r="K8">
        <v>20881.387599999998</v>
      </c>
    </row>
    <row r="9" spans="1:11">
      <c r="A9">
        <v>1</v>
      </c>
      <c r="B9">
        <v>356051.87099999998</v>
      </c>
      <c r="C9">
        <v>15150.51902</v>
      </c>
      <c r="D9">
        <v>111756.99980000001</v>
      </c>
      <c r="E9">
        <v>246230.7836</v>
      </c>
      <c r="F9">
        <v>30131.775740000001</v>
      </c>
      <c r="G9">
        <v>80454.105280000003</v>
      </c>
      <c r="H9">
        <v>757.87422830000003</v>
      </c>
      <c r="I9">
        <v>18</v>
      </c>
      <c r="J9">
        <v>273589.75959999999</v>
      </c>
      <c r="K9">
        <v>16833.910019999999</v>
      </c>
    </row>
    <row r="10" spans="1:11">
      <c r="A10">
        <v>1</v>
      </c>
      <c r="B10">
        <v>365027.15370000002</v>
      </c>
      <c r="C10">
        <v>7304.6507670000001</v>
      </c>
      <c r="D10">
        <v>100055.3668</v>
      </c>
      <c r="E10">
        <v>229869.6721</v>
      </c>
      <c r="F10">
        <v>24532.293409999998</v>
      </c>
      <c r="G10">
        <v>79653.694740000006</v>
      </c>
      <c r="H10">
        <v>716.84784460000003</v>
      </c>
      <c r="I10">
        <v>28</v>
      </c>
      <c r="J10">
        <v>255410.74679999999</v>
      </c>
      <c r="K10">
        <v>8116.2786299999998</v>
      </c>
    </row>
    <row r="11" spans="1:11">
      <c r="A11">
        <v>1</v>
      </c>
      <c r="B11">
        <v>406886.413</v>
      </c>
      <c r="C11">
        <v>4144.2918490000002</v>
      </c>
      <c r="D11">
        <v>112725.3268</v>
      </c>
      <c r="E11">
        <v>197915.91329999999</v>
      </c>
      <c r="F11">
        <v>23596.86148</v>
      </c>
      <c r="G11">
        <v>85292.578049999996</v>
      </c>
      <c r="H11">
        <v>714.65046670000004</v>
      </c>
      <c r="I11">
        <v>37</v>
      </c>
      <c r="J11">
        <v>219906.57029999999</v>
      </c>
      <c r="K11">
        <v>4604.7687210000004</v>
      </c>
    </row>
    <row r="12" spans="1:11">
      <c r="A12">
        <v>2</v>
      </c>
      <c r="B12">
        <v>203301.296</v>
      </c>
      <c r="C12">
        <v>33048.678240000001</v>
      </c>
      <c r="D12">
        <v>123268.6603</v>
      </c>
      <c r="E12">
        <v>275401.2599</v>
      </c>
      <c r="F12">
        <v>83066.148799999995</v>
      </c>
      <c r="G12">
        <v>94515.990659999996</v>
      </c>
      <c r="H12">
        <v>2837.7622510000001</v>
      </c>
      <c r="I12">
        <v>0</v>
      </c>
      <c r="J12">
        <v>306001.39990000002</v>
      </c>
      <c r="K12">
        <v>36720.753599999996</v>
      </c>
    </row>
    <row r="13" spans="1:11">
      <c r="A13">
        <v>2</v>
      </c>
      <c r="B13">
        <v>271917.27399999998</v>
      </c>
      <c r="C13">
        <v>22772.554179999999</v>
      </c>
      <c r="D13">
        <v>112744.9687</v>
      </c>
      <c r="E13">
        <v>291653.76990000001</v>
      </c>
      <c r="F13">
        <v>0</v>
      </c>
      <c r="G13">
        <v>118378.3836</v>
      </c>
      <c r="H13">
        <v>0</v>
      </c>
      <c r="I13">
        <v>9</v>
      </c>
      <c r="J13">
        <v>324059.74430000002</v>
      </c>
      <c r="K13">
        <v>25302.83798</v>
      </c>
    </row>
    <row r="14" spans="1:11">
      <c r="A14">
        <v>2</v>
      </c>
      <c r="B14">
        <v>300789.94500000001</v>
      </c>
      <c r="C14">
        <v>18601.109680000001</v>
      </c>
      <c r="D14">
        <v>112106.43060000001</v>
      </c>
      <c r="E14">
        <v>269754.42910000001</v>
      </c>
      <c r="F14">
        <v>0</v>
      </c>
      <c r="G14">
        <v>84242.460009999995</v>
      </c>
      <c r="H14">
        <v>0</v>
      </c>
      <c r="I14">
        <v>18</v>
      </c>
      <c r="J14">
        <v>299727.1434</v>
      </c>
      <c r="K14">
        <v>20667.89964</v>
      </c>
    </row>
    <row r="15" spans="1:11">
      <c r="A15">
        <v>2</v>
      </c>
      <c r="B15">
        <v>322269.99329999997</v>
      </c>
      <c r="C15">
        <v>9696.8082219999997</v>
      </c>
      <c r="D15">
        <v>115274.4644</v>
      </c>
      <c r="E15">
        <v>273242.04830000002</v>
      </c>
      <c r="F15">
        <v>0</v>
      </c>
      <c r="G15">
        <v>90132.638099999996</v>
      </c>
      <c r="H15">
        <v>0</v>
      </c>
      <c r="I15">
        <v>28</v>
      </c>
      <c r="J15">
        <v>303602.27590000001</v>
      </c>
      <c r="K15">
        <v>10774.23136</v>
      </c>
    </row>
    <row r="16" spans="1:11">
      <c r="A16">
        <v>2</v>
      </c>
      <c r="B16">
        <v>316088.7317</v>
      </c>
      <c r="C16">
        <v>7233.5814129999999</v>
      </c>
      <c r="D16">
        <v>104162.47960000001</v>
      </c>
      <c r="E16">
        <v>212391.9762</v>
      </c>
      <c r="F16">
        <v>0</v>
      </c>
      <c r="G16">
        <v>110151.53599999999</v>
      </c>
      <c r="H16">
        <v>0</v>
      </c>
      <c r="I16">
        <v>37</v>
      </c>
      <c r="J16">
        <v>235991.08470000001</v>
      </c>
      <c r="K16">
        <v>8037.3126810000003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Biomass.TNC content. structural</vt:lpstr>
      <vt:lpstr>Sheet2</vt:lpstr>
      <vt:lpstr>Sheet1</vt:lpstr>
    </vt:vector>
  </TitlesOfParts>
  <Company>CSIRO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Rossouw, Gerhard (A&amp;F, Waite Campus)</dc:creator>
  <cp:lastModifiedBy>Junqi Zhu</cp:lastModifiedBy>
  <dcterms:created xsi:type="dcterms:W3CDTF">2019-06-16T09:28:35Z</dcterms:created>
  <dcterms:modified xsi:type="dcterms:W3CDTF">2021-07-29T03:53:02Z</dcterms:modified>
</cp:coreProperties>
</file>